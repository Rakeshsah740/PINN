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\sem 5\Codes\"/>
    </mc:Choice>
  </mc:AlternateContent>
  <xr:revisionPtr revIDLastSave="0" documentId="13_ncr:1_{05A111DF-1377-4C15-BF85-583D622C7231}" xr6:coauthVersionLast="47" xr6:coauthVersionMax="47" xr10:uidLastSave="{00000000-0000-0000-0000-000000000000}"/>
  <bookViews>
    <workbookView xWindow="-120" yWindow="-120" windowWidth="19440" windowHeight="15000" xr2:uid="{7DCB483B-EADE-468B-A11D-0B02376EF2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5" i="1" l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44" i="1" l="1"/>
  <c r="C24" i="1" l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23" i="1" l="1"/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</calcChain>
</file>

<file path=xl/sharedStrings.xml><?xml version="1.0" encoding="utf-8"?>
<sst xmlns="http://schemas.openxmlformats.org/spreadsheetml/2006/main" count="80" uniqueCount="22">
  <si>
    <t>Si 14</t>
  </si>
  <si>
    <t>Fe 26</t>
  </si>
  <si>
    <t>Cu 29</t>
  </si>
  <si>
    <t>Mn 25</t>
  </si>
  <si>
    <t>Mg 12</t>
  </si>
  <si>
    <t>Cr 24</t>
  </si>
  <si>
    <t>Ni 28</t>
  </si>
  <si>
    <t>Zn 30</t>
  </si>
  <si>
    <t>Pb 82</t>
  </si>
  <si>
    <t>Sn 50</t>
  </si>
  <si>
    <t>Ti 22</t>
  </si>
  <si>
    <t>Z</t>
  </si>
  <si>
    <t>N</t>
  </si>
  <si>
    <t>sigma_a</t>
  </si>
  <si>
    <t>chemisch</t>
  </si>
  <si>
    <t>AlSi7Mg0,3</t>
  </si>
  <si>
    <t>AlMg4,5Mn0,7</t>
  </si>
  <si>
    <t>Is that Runouts?</t>
  </si>
  <si>
    <t>Al 26</t>
  </si>
  <si>
    <t>T5 ?</t>
  </si>
  <si>
    <t>T6 ?</t>
  </si>
  <si>
    <t>T7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</si>
</sst>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>
    <font>
      <sz val="11"/>
      <color theme="1"/>
      <name val="Aptos Narrow"/>
      <family val="2"/>
      <scheme val="minor"/>
    </font>
    <font>
      <sz val="12"/>
      <color rgb="FF000000"/>
      <name val="Calibri"/>
      <family val="2"/>
      <charset val="1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99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" fontId="0" fillId="0" borderId="0" xfId="0" applyNumberFormat="1"/>
    <xf numFmtId="164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/>
    <xf numFmtId="1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104F5-0E4C-4247-9FBD-FDB2733B4479}">
  <dimension ref="A1:T61"/>
  <sheetViews>
    <sheetView tabSelected="1" zoomScale="89" zoomScaleNormal="89" workbookViewId="0">
      <selection activeCell="B43" sqref="B23:B43"/>
    </sheetView>
  </sheetViews>
  <sheetFormatPr defaultRowHeight="14.25"/>
  <cols>
    <col min="2" max="2" width="16.25" customWidth="1"/>
    <col min="3" max="3" width="17.875" customWidth="1"/>
    <col min="15" max="17" width="13.25" style="1" customWidth="1"/>
    <col min="18" max="18" width="14.625" customWidth="1"/>
    <col min="19" max="19" width="9" style="1"/>
    <col min="20" max="20" width="18" customWidth="1"/>
  </cols>
  <sheetData>
    <row r="1" spans="1:20" s="9" customFormat="1">
      <c r="A1" s="9" t="s">
        <v>11</v>
      </c>
      <c r="B1" s="9" t="s">
        <v>14</v>
      </c>
      <c r="C1" s="9" t="s">
        <v>18</v>
      </c>
      <c r="D1" s="9" t="s">
        <v>0</v>
      </c>
      <c r="E1" s="9" t="s">
        <v>1</v>
      </c>
      <c r="F1" s="9" t="s">
        <v>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8</v>
      </c>
      <c r="M1" s="9" t="s">
        <v>9</v>
      </c>
      <c r="N1" s="9" t="s">
        <v>10</v>
      </c>
      <c r="O1" s="10" t="s">
        <v>19</v>
      </c>
      <c r="P1" s="10" t="s">
        <v>20</v>
      </c>
      <c r="Q1" s="10" t="s">
        <v>21</v>
      </c>
      <c r="R1" s="10" t="s">
        <v>12</v>
      </c>
      <c r="S1" s="11" t="s">
        <v>13</v>
      </c>
      <c r="T1" s="10" t="s">
        <v>17</v>
      </c>
    </row>
    <row r="2" spans="1:20" ht="15.75">
      <c r="A2" s="3">
        <v>1</v>
      </c>
      <c r="B2" s="4" t="s">
        <v>15</v>
      </c>
      <c r="C2" s="5">
        <f>100-SUM(D2:N2)</f>
        <v>92.112799999999993</v>
      </c>
      <c r="D2" s="2">
        <v>7.3</v>
      </c>
      <c r="E2" s="2">
        <v>0.104</v>
      </c>
      <c r="F2" s="2">
        <v>8.2000000000000007E-3</v>
      </c>
      <c r="G2" s="2">
        <v>1.66E-2</v>
      </c>
      <c r="H2" s="2">
        <v>0.33</v>
      </c>
      <c r="I2" s="2">
        <v>1.6000000000000001E-3</v>
      </c>
      <c r="J2" s="2">
        <v>2.5000000000000001E-3</v>
      </c>
      <c r="K2" s="2">
        <v>5.3E-3</v>
      </c>
      <c r="L2" s="2">
        <v>5.0000000000000001E-4</v>
      </c>
      <c r="M2" s="2">
        <v>5.0000000000000001E-4</v>
      </c>
      <c r="N2" s="2">
        <v>0.11799999999999999</v>
      </c>
      <c r="O2" s="8">
        <v>0</v>
      </c>
      <c r="P2" s="8">
        <v>1</v>
      </c>
      <c r="Q2" s="8">
        <v>0</v>
      </c>
      <c r="R2" s="6">
        <v>59715</v>
      </c>
      <c r="S2" s="7">
        <v>156.53</v>
      </c>
      <c r="T2" s="6">
        <v>0</v>
      </c>
    </row>
    <row r="3" spans="1:20" ht="15.75">
      <c r="A3" s="3">
        <v>1</v>
      </c>
      <c r="B3" s="4" t="s">
        <v>15</v>
      </c>
      <c r="C3" s="5">
        <f t="shared" ref="C3:C22" si="0">100-SUM(D3:N3)</f>
        <v>92.112799999999993</v>
      </c>
      <c r="D3" s="2">
        <v>7.3</v>
      </c>
      <c r="E3" s="2">
        <v>0.104</v>
      </c>
      <c r="F3" s="2">
        <v>8.2000000000000007E-3</v>
      </c>
      <c r="G3" s="2">
        <v>1.66E-2</v>
      </c>
      <c r="H3" s="2">
        <v>0.33</v>
      </c>
      <c r="I3" s="2">
        <v>1.6000000000000001E-3</v>
      </c>
      <c r="J3" s="2">
        <v>2.5000000000000001E-3</v>
      </c>
      <c r="K3" s="2">
        <v>5.3E-3</v>
      </c>
      <c r="L3" s="2">
        <v>5.0000000000000001E-4</v>
      </c>
      <c r="M3" s="2">
        <v>5.0000000000000001E-4</v>
      </c>
      <c r="N3" s="2">
        <v>0.11799999999999999</v>
      </c>
      <c r="O3" s="8">
        <v>0</v>
      </c>
      <c r="P3" s="8">
        <v>1</v>
      </c>
      <c r="Q3" s="8">
        <v>0</v>
      </c>
      <c r="R3" s="6">
        <v>92584</v>
      </c>
      <c r="S3" s="7">
        <v>124.5125</v>
      </c>
      <c r="T3" s="6">
        <v>0</v>
      </c>
    </row>
    <row r="4" spans="1:20" ht="15.75">
      <c r="A4" s="3">
        <v>1</v>
      </c>
      <c r="B4" s="4" t="s">
        <v>15</v>
      </c>
      <c r="C4" s="5">
        <f t="shared" si="0"/>
        <v>92.112799999999993</v>
      </c>
      <c r="D4" s="2">
        <v>7.3</v>
      </c>
      <c r="E4" s="2">
        <v>0.104</v>
      </c>
      <c r="F4" s="2">
        <v>8.2000000000000007E-3</v>
      </c>
      <c r="G4" s="2">
        <v>1.66E-2</v>
      </c>
      <c r="H4" s="2">
        <v>0.33</v>
      </c>
      <c r="I4" s="2">
        <v>1.6000000000000001E-3</v>
      </c>
      <c r="J4" s="2">
        <v>2.5000000000000001E-3</v>
      </c>
      <c r="K4" s="2">
        <v>5.3E-3</v>
      </c>
      <c r="L4" s="2">
        <v>5.0000000000000001E-4</v>
      </c>
      <c r="M4" s="2">
        <v>5.0000000000000001E-4</v>
      </c>
      <c r="N4" s="2">
        <v>0.11799999999999999</v>
      </c>
      <c r="O4" s="8">
        <v>0</v>
      </c>
      <c r="P4" s="8">
        <v>1</v>
      </c>
      <c r="Q4" s="8">
        <v>0</v>
      </c>
      <c r="R4" s="6">
        <v>158948</v>
      </c>
      <c r="S4" s="7">
        <v>134.11775</v>
      </c>
      <c r="T4" s="6">
        <v>0</v>
      </c>
    </row>
    <row r="5" spans="1:20" ht="15.75">
      <c r="A5" s="3">
        <v>1</v>
      </c>
      <c r="B5" s="4" t="s">
        <v>15</v>
      </c>
      <c r="C5" s="5">
        <f t="shared" si="0"/>
        <v>92.112799999999993</v>
      </c>
      <c r="D5" s="2">
        <v>7.3</v>
      </c>
      <c r="E5" s="2">
        <v>0.104</v>
      </c>
      <c r="F5" s="2">
        <v>8.2000000000000007E-3</v>
      </c>
      <c r="G5" s="2">
        <v>1.66E-2</v>
      </c>
      <c r="H5" s="2">
        <v>0.33</v>
      </c>
      <c r="I5" s="2">
        <v>1.6000000000000001E-3</v>
      </c>
      <c r="J5" s="2">
        <v>2.5000000000000001E-3</v>
      </c>
      <c r="K5" s="2">
        <v>5.3E-3</v>
      </c>
      <c r="L5" s="2">
        <v>5.0000000000000001E-4</v>
      </c>
      <c r="M5" s="2">
        <v>5.0000000000000001E-4</v>
      </c>
      <c r="N5" s="2">
        <v>0.11799999999999999</v>
      </c>
      <c r="O5" s="8">
        <v>0</v>
      </c>
      <c r="P5" s="8">
        <v>1</v>
      </c>
      <c r="Q5" s="8">
        <v>0</v>
      </c>
      <c r="R5" s="6">
        <v>190431</v>
      </c>
      <c r="S5" s="7">
        <v>144.79025000000001</v>
      </c>
      <c r="T5" s="6">
        <v>0</v>
      </c>
    </row>
    <row r="6" spans="1:20" ht="15.75">
      <c r="A6" s="3">
        <v>1</v>
      </c>
      <c r="B6" s="4" t="s">
        <v>15</v>
      </c>
      <c r="C6" s="5">
        <f t="shared" si="0"/>
        <v>92.112799999999993</v>
      </c>
      <c r="D6" s="2">
        <v>7.3</v>
      </c>
      <c r="E6" s="2">
        <v>0.104</v>
      </c>
      <c r="F6" s="2">
        <v>8.2000000000000007E-3</v>
      </c>
      <c r="G6" s="2">
        <v>1.66E-2</v>
      </c>
      <c r="H6" s="2">
        <v>0.33</v>
      </c>
      <c r="I6" s="2">
        <v>1.6000000000000001E-3</v>
      </c>
      <c r="J6" s="2">
        <v>2.5000000000000001E-3</v>
      </c>
      <c r="K6" s="2">
        <v>5.3E-3</v>
      </c>
      <c r="L6" s="2">
        <v>5.0000000000000001E-4</v>
      </c>
      <c r="M6" s="2">
        <v>5.0000000000000001E-4</v>
      </c>
      <c r="N6" s="2">
        <v>0.11799999999999999</v>
      </c>
      <c r="O6" s="8">
        <v>0</v>
      </c>
      <c r="P6" s="8">
        <v>1</v>
      </c>
      <c r="Q6" s="8">
        <v>0</v>
      </c>
      <c r="R6" s="6">
        <v>216183</v>
      </c>
      <c r="S6" s="7">
        <v>98.898500000000013</v>
      </c>
      <c r="T6" s="6">
        <v>0</v>
      </c>
    </row>
    <row r="7" spans="1:20" ht="15.75">
      <c r="A7" s="3">
        <v>1</v>
      </c>
      <c r="B7" s="4" t="s">
        <v>15</v>
      </c>
      <c r="C7" s="5">
        <f t="shared" si="0"/>
        <v>92.112799999999993</v>
      </c>
      <c r="D7" s="2">
        <v>7.3</v>
      </c>
      <c r="E7" s="2">
        <v>0.104</v>
      </c>
      <c r="F7" s="2">
        <v>8.2000000000000007E-3</v>
      </c>
      <c r="G7" s="2">
        <v>1.66E-2</v>
      </c>
      <c r="H7" s="2">
        <v>0.33</v>
      </c>
      <c r="I7" s="2">
        <v>1.6000000000000001E-3</v>
      </c>
      <c r="J7" s="2">
        <v>2.5000000000000001E-3</v>
      </c>
      <c r="K7" s="2">
        <v>5.3E-3</v>
      </c>
      <c r="L7" s="2">
        <v>5.0000000000000001E-4</v>
      </c>
      <c r="M7" s="2">
        <v>5.0000000000000001E-4</v>
      </c>
      <c r="N7" s="2">
        <v>0.11799999999999999</v>
      </c>
      <c r="O7" s="8">
        <v>0</v>
      </c>
      <c r="P7" s="8">
        <v>1</v>
      </c>
      <c r="Q7" s="8">
        <v>0</v>
      </c>
      <c r="R7" s="6">
        <v>326531</v>
      </c>
      <c r="S7" s="7">
        <v>98.898500000000013</v>
      </c>
      <c r="T7" s="6">
        <v>0</v>
      </c>
    </row>
    <row r="8" spans="1:20" ht="15.75">
      <c r="A8" s="3">
        <v>1</v>
      </c>
      <c r="B8" s="4" t="s">
        <v>15</v>
      </c>
      <c r="C8" s="5">
        <f t="shared" si="0"/>
        <v>92.112799999999993</v>
      </c>
      <c r="D8" s="2">
        <v>7.3</v>
      </c>
      <c r="E8" s="2">
        <v>0.104</v>
      </c>
      <c r="F8" s="2">
        <v>8.2000000000000007E-3</v>
      </c>
      <c r="G8" s="2">
        <v>1.66E-2</v>
      </c>
      <c r="H8" s="2">
        <v>0.33</v>
      </c>
      <c r="I8" s="2">
        <v>1.6000000000000001E-3</v>
      </c>
      <c r="J8" s="2">
        <v>2.5000000000000001E-3</v>
      </c>
      <c r="K8" s="2">
        <v>5.3E-3</v>
      </c>
      <c r="L8" s="2">
        <v>5.0000000000000001E-4</v>
      </c>
      <c r="M8" s="2">
        <v>5.0000000000000001E-4</v>
      </c>
      <c r="N8" s="2">
        <v>0.11799999999999999</v>
      </c>
      <c r="O8" s="8">
        <v>0</v>
      </c>
      <c r="P8" s="8">
        <v>1</v>
      </c>
      <c r="Q8" s="8">
        <v>0</v>
      </c>
      <c r="R8" s="6">
        <v>384791</v>
      </c>
      <c r="S8" s="7">
        <v>115.26300000000001</v>
      </c>
      <c r="T8" s="6">
        <v>0</v>
      </c>
    </row>
    <row r="9" spans="1:20" ht="15.75">
      <c r="A9" s="3">
        <v>1</v>
      </c>
      <c r="B9" s="4" t="s">
        <v>15</v>
      </c>
      <c r="C9" s="5">
        <f t="shared" si="0"/>
        <v>92.112799999999993</v>
      </c>
      <c r="D9" s="2">
        <v>7.3</v>
      </c>
      <c r="E9" s="2">
        <v>0.104</v>
      </c>
      <c r="F9" s="2">
        <v>8.2000000000000007E-3</v>
      </c>
      <c r="G9" s="2">
        <v>1.66E-2</v>
      </c>
      <c r="H9" s="2">
        <v>0.33</v>
      </c>
      <c r="I9" s="2">
        <v>1.6000000000000001E-3</v>
      </c>
      <c r="J9" s="2">
        <v>2.5000000000000001E-3</v>
      </c>
      <c r="K9" s="2">
        <v>5.3E-3</v>
      </c>
      <c r="L9" s="2">
        <v>5.0000000000000001E-4</v>
      </c>
      <c r="M9" s="2">
        <v>5.0000000000000001E-4</v>
      </c>
      <c r="N9" s="2">
        <v>0.11799999999999999</v>
      </c>
      <c r="O9" s="8">
        <v>0</v>
      </c>
      <c r="P9" s="8">
        <v>1</v>
      </c>
      <c r="Q9" s="8">
        <v>0</v>
      </c>
      <c r="R9" s="6">
        <v>885885</v>
      </c>
      <c r="S9" s="7">
        <v>98.898500000000013</v>
      </c>
      <c r="T9" s="6">
        <v>0</v>
      </c>
    </row>
    <row r="10" spans="1:20" ht="15.75">
      <c r="A10" s="3">
        <v>1</v>
      </c>
      <c r="B10" s="4" t="s">
        <v>15</v>
      </c>
      <c r="C10" s="5">
        <f t="shared" si="0"/>
        <v>92.112799999999993</v>
      </c>
      <c r="D10" s="2">
        <v>7.3</v>
      </c>
      <c r="E10" s="2">
        <v>0.104</v>
      </c>
      <c r="F10" s="2">
        <v>8.2000000000000007E-3</v>
      </c>
      <c r="G10" s="2">
        <v>1.66E-2</v>
      </c>
      <c r="H10" s="2">
        <v>0.33</v>
      </c>
      <c r="I10" s="2">
        <v>1.6000000000000001E-3</v>
      </c>
      <c r="J10" s="2">
        <v>2.5000000000000001E-3</v>
      </c>
      <c r="K10" s="2">
        <v>5.3E-3</v>
      </c>
      <c r="L10" s="2">
        <v>5.0000000000000001E-4</v>
      </c>
      <c r="M10" s="2">
        <v>5.0000000000000001E-4</v>
      </c>
      <c r="N10" s="2">
        <v>0.11799999999999999</v>
      </c>
      <c r="O10" s="8">
        <v>0</v>
      </c>
      <c r="P10" s="8">
        <v>1</v>
      </c>
      <c r="Q10" s="8">
        <v>0</v>
      </c>
      <c r="R10" s="6">
        <v>896141</v>
      </c>
      <c r="S10" s="7">
        <v>91.783500000000004</v>
      </c>
      <c r="T10" s="6">
        <v>0</v>
      </c>
    </row>
    <row r="11" spans="1:20" ht="15.75">
      <c r="A11" s="3">
        <v>1</v>
      </c>
      <c r="B11" s="4" t="s">
        <v>15</v>
      </c>
      <c r="C11" s="5">
        <f t="shared" si="0"/>
        <v>92.112799999999993</v>
      </c>
      <c r="D11" s="2">
        <v>7.3</v>
      </c>
      <c r="E11" s="2">
        <v>0.104</v>
      </c>
      <c r="F11" s="2">
        <v>8.2000000000000007E-3</v>
      </c>
      <c r="G11" s="2">
        <v>1.66E-2</v>
      </c>
      <c r="H11" s="2">
        <v>0.33</v>
      </c>
      <c r="I11" s="2">
        <v>1.6000000000000001E-3</v>
      </c>
      <c r="J11" s="2">
        <v>2.5000000000000001E-3</v>
      </c>
      <c r="K11" s="2">
        <v>5.3E-3</v>
      </c>
      <c r="L11" s="2">
        <v>5.0000000000000001E-4</v>
      </c>
      <c r="M11" s="2">
        <v>5.0000000000000001E-4</v>
      </c>
      <c r="N11" s="2">
        <v>0.11799999999999999</v>
      </c>
      <c r="O11" s="8">
        <v>0</v>
      </c>
      <c r="P11" s="8">
        <v>1</v>
      </c>
      <c r="Q11" s="8">
        <v>0</v>
      </c>
      <c r="R11" s="6">
        <v>1139222</v>
      </c>
      <c r="S11" s="7">
        <v>72.928750000000008</v>
      </c>
      <c r="T11" s="6">
        <v>0</v>
      </c>
    </row>
    <row r="12" spans="1:20" ht="15.75">
      <c r="A12" s="3">
        <v>1</v>
      </c>
      <c r="B12" s="4" t="s">
        <v>15</v>
      </c>
      <c r="C12" s="5">
        <f t="shared" si="0"/>
        <v>92.112799999999993</v>
      </c>
      <c r="D12" s="2">
        <v>7.3</v>
      </c>
      <c r="E12" s="2">
        <v>0.104</v>
      </c>
      <c r="F12" s="2">
        <v>8.2000000000000007E-3</v>
      </c>
      <c r="G12" s="2">
        <v>1.66E-2</v>
      </c>
      <c r="H12" s="2">
        <v>0.33</v>
      </c>
      <c r="I12" s="2">
        <v>1.6000000000000001E-3</v>
      </c>
      <c r="J12" s="2">
        <v>2.5000000000000001E-3</v>
      </c>
      <c r="K12" s="2">
        <v>5.3E-3</v>
      </c>
      <c r="L12" s="2">
        <v>5.0000000000000001E-4</v>
      </c>
      <c r="M12" s="2">
        <v>5.0000000000000001E-4</v>
      </c>
      <c r="N12" s="2">
        <v>0.11799999999999999</v>
      </c>
      <c r="O12" s="8">
        <v>0</v>
      </c>
      <c r="P12" s="8">
        <v>1</v>
      </c>
      <c r="Q12" s="8">
        <v>0</v>
      </c>
      <c r="R12" s="6">
        <v>1528914</v>
      </c>
      <c r="S12" s="7">
        <v>72.928750000000008</v>
      </c>
      <c r="T12" s="6">
        <v>0</v>
      </c>
    </row>
    <row r="13" spans="1:20" ht="15.75">
      <c r="A13" s="3">
        <v>1</v>
      </c>
      <c r="B13" s="4" t="s">
        <v>15</v>
      </c>
      <c r="C13" s="5">
        <f t="shared" si="0"/>
        <v>92.112799999999993</v>
      </c>
      <c r="D13" s="2">
        <v>7.3</v>
      </c>
      <c r="E13" s="2">
        <v>0.104</v>
      </c>
      <c r="F13" s="2">
        <v>8.2000000000000007E-3</v>
      </c>
      <c r="G13" s="2">
        <v>1.66E-2</v>
      </c>
      <c r="H13" s="2">
        <v>0.33</v>
      </c>
      <c r="I13" s="2">
        <v>1.6000000000000001E-3</v>
      </c>
      <c r="J13" s="2">
        <v>2.5000000000000001E-3</v>
      </c>
      <c r="K13" s="2">
        <v>5.3E-3</v>
      </c>
      <c r="L13" s="2">
        <v>5.0000000000000001E-4</v>
      </c>
      <c r="M13" s="2">
        <v>5.0000000000000001E-4</v>
      </c>
      <c r="N13" s="2">
        <v>0.11799999999999999</v>
      </c>
      <c r="O13" s="8">
        <v>0</v>
      </c>
      <c r="P13" s="8">
        <v>1</v>
      </c>
      <c r="Q13" s="8">
        <v>0</v>
      </c>
      <c r="R13" s="6">
        <v>1925880</v>
      </c>
      <c r="S13" s="7">
        <v>85.024250000000009</v>
      </c>
      <c r="T13" s="6">
        <v>0</v>
      </c>
    </row>
    <row r="14" spans="1:20" ht="15.75">
      <c r="A14" s="3">
        <v>1</v>
      </c>
      <c r="B14" s="4" t="s">
        <v>15</v>
      </c>
      <c r="C14" s="5">
        <f t="shared" si="0"/>
        <v>92.112799999999993</v>
      </c>
      <c r="D14" s="2">
        <v>7.3</v>
      </c>
      <c r="E14" s="2">
        <v>0.104</v>
      </c>
      <c r="F14" s="2">
        <v>8.2000000000000007E-3</v>
      </c>
      <c r="G14" s="2">
        <v>1.66E-2</v>
      </c>
      <c r="H14" s="2">
        <v>0.33</v>
      </c>
      <c r="I14" s="2">
        <v>1.6000000000000001E-3</v>
      </c>
      <c r="J14" s="2">
        <v>2.5000000000000001E-3</v>
      </c>
      <c r="K14" s="2">
        <v>5.3E-3</v>
      </c>
      <c r="L14" s="2">
        <v>5.0000000000000001E-4</v>
      </c>
      <c r="M14" s="2">
        <v>5.0000000000000001E-4</v>
      </c>
      <c r="N14" s="2">
        <v>0.11799999999999999</v>
      </c>
      <c r="O14" s="8">
        <v>0</v>
      </c>
      <c r="P14" s="8">
        <v>1</v>
      </c>
      <c r="Q14" s="8">
        <v>0</v>
      </c>
      <c r="R14" s="6">
        <v>2744484</v>
      </c>
      <c r="S14" s="7">
        <v>67.592500000000001</v>
      </c>
      <c r="T14" s="6">
        <v>0</v>
      </c>
    </row>
    <row r="15" spans="1:20" ht="15.75">
      <c r="A15" s="3">
        <v>1</v>
      </c>
      <c r="B15" s="4" t="s">
        <v>15</v>
      </c>
      <c r="C15" s="5">
        <f t="shared" si="0"/>
        <v>92.112799999999993</v>
      </c>
      <c r="D15" s="2">
        <v>7.3</v>
      </c>
      <c r="E15" s="2">
        <v>0.104</v>
      </c>
      <c r="F15" s="2">
        <v>8.2000000000000007E-3</v>
      </c>
      <c r="G15" s="2">
        <v>1.66E-2</v>
      </c>
      <c r="H15" s="2">
        <v>0.33</v>
      </c>
      <c r="I15" s="2">
        <v>1.6000000000000001E-3</v>
      </c>
      <c r="J15" s="2">
        <v>2.5000000000000001E-3</v>
      </c>
      <c r="K15" s="2">
        <v>5.3E-3</v>
      </c>
      <c r="L15" s="2">
        <v>5.0000000000000001E-4</v>
      </c>
      <c r="M15" s="2">
        <v>5.0000000000000001E-4</v>
      </c>
      <c r="N15" s="2">
        <v>0.11799999999999999</v>
      </c>
      <c r="O15" s="8">
        <v>0</v>
      </c>
      <c r="P15" s="8">
        <v>1</v>
      </c>
      <c r="Q15" s="8">
        <v>0</v>
      </c>
      <c r="R15" s="6">
        <v>3509964</v>
      </c>
      <c r="S15" s="7">
        <v>67.592500000000001</v>
      </c>
      <c r="T15" s="6">
        <v>0</v>
      </c>
    </row>
    <row r="16" spans="1:20" ht="15.75">
      <c r="A16" s="3">
        <v>1</v>
      </c>
      <c r="B16" s="4" t="s">
        <v>15</v>
      </c>
      <c r="C16" s="5">
        <f t="shared" si="0"/>
        <v>92.112799999999993</v>
      </c>
      <c r="D16" s="2">
        <v>7.3</v>
      </c>
      <c r="E16" s="2">
        <v>0.104</v>
      </c>
      <c r="F16" s="2">
        <v>8.2000000000000007E-3</v>
      </c>
      <c r="G16" s="2">
        <v>1.66E-2</v>
      </c>
      <c r="H16" s="2">
        <v>0.33</v>
      </c>
      <c r="I16" s="2">
        <v>1.6000000000000001E-3</v>
      </c>
      <c r="J16" s="2">
        <v>2.5000000000000001E-3</v>
      </c>
      <c r="K16" s="2">
        <v>5.3E-3</v>
      </c>
      <c r="L16" s="2">
        <v>5.0000000000000001E-4</v>
      </c>
      <c r="M16" s="2">
        <v>5.0000000000000001E-4</v>
      </c>
      <c r="N16" s="2">
        <v>0.11799999999999999</v>
      </c>
      <c r="O16" s="8">
        <v>0</v>
      </c>
      <c r="P16" s="8">
        <v>1</v>
      </c>
      <c r="Q16" s="8">
        <v>0</v>
      </c>
      <c r="R16" s="6">
        <v>3903503</v>
      </c>
      <c r="S16" s="7">
        <v>72.928750000000008</v>
      </c>
      <c r="T16" s="6">
        <v>0</v>
      </c>
    </row>
    <row r="17" spans="1:20" ht="15.75">
      <c r="A17" s="3">
        <v>1</v>
      </c>
      <c r="B17" s="4" t="s">
        <v>15</v>
      </c>
      <c r="C17" s="5">
        <f t="shared" si="0"/>
        <v>92.112799999999993</v>
      </c>
      <c r="D17" s="2">
        <v>7.3</v>
      </c>
      <c r="E17" s="2">
        <v>0.104</v>
      </c>
      <c r="F17" s="2">
        <v>8.2000000000000007E-3</v>
      </c>
      <c r="G17" s="2">
        <v>1.66E-2</v>
      </c>
      <c r="H17" s="2">
        <v>0.33</v>
      </c>
      <c r="I17" s="2">
        <v>1.6000000000000001E-3</v>
      </c>
      <c r="J17" s="2">
        <v>2.5000000000000001E-3</v>
      </c>
      <c r="K17" s="2">
        <v>5.3E-3</v>
      </c>
      <c r="L17" s="2">
        <v>5.0000000000000001E-4</v>
      </c>
      <c r="M17" s="2">
        <v>5.0000000000000001E-4</v>
      </c>
      <c r="N17" s="2">
        <v>0.11799999999999999</v>
      </c>
      <c r="O17" s="8">
        <v>0</v>
      </c>
      <c r="P17" s="8">
        <v>1</v>
      </c>
      <c r="Q17" s="8">
        <v>0</v>
      </c>
      <c r="R17" s="6">
        <v>4415340</v>
      </c>
      <c r="S17" s="7">
        <v>62.612000000000002</v>
      </c>
      <c r="T17" s="6">
        <v>0</v>
      </c>
    </row>
    <row r="18" spans="1:20" ht="15.75">
      <c r="A18" s="3">
        <v>1</v>
      </c>
      <c r="B18" s="4" t="s">
        <v>15</v>
      </c>
      <c r="C18" s="5">
        <f t="shared" si="0"/>
        <v>92.112799999999993</v>
      </c>
      <c r="D18" s="2">
        <v>7.3</v>
      </c>
      <c r="E18" s="2">
        <v>0.104</v>
      </c>
      <c r="F18" s="2">
        <v>8.2000000000000007E-3</v>
      </c>
      <c r="G18" s="2">
        <v>1.66E-2</v>
      </c>
      <c r="H18" s="2">
        <v>0.33</v>
      </c>
      <c r="I18" s="2">
        <v>1.6000000000000001E-3</v>
      </c>
      <c r="J18" s="2">
        <v>2.5000000000000001E-3</v>
      </c>
      <c r="K18" s="2">
        <v>5.3E-3</v>
      </c>
      <c r="L18" s="2">
        <v>5.0000000000000001E-4</v>
      </c>
      <c r="M18" s="2">
        <v>5.0000000000000001E-4</v>
      </c>
      <c r="N18" s="2">
        <v>0.11799999999999999</v>
      </c>
      <c r="O18" s="8">
        <v>0</v>
      </c>
      <c r="P18" s="8">
        <v>1</v>
      </c>
      <c r="Q18" s="8">
        <v>0</v>
      </c>
      <c r="R18" s="6">
        <v>8384682</v>
      </c>
      <c r="S18" s="7">
        <v>78.620750000000001</v>
      </c>
      <c r="T18" s="6">
        <v>0</v>
      </c>
    </row>
    <row r="19" spans="1:20" ht="15.75">
      <c r="A19" s="3">
        <v>1</v>
      </c>
      <c r="B19" s="4" t="s">
        <v>15</v>
      </c>
      <c r="C19" s="5">
        <f t="shared" si="0"/>
        <v>92.112799999999993</v>
      </c>
      <c r="D19" s="2">
        <v>7.3</v>
      </c>
      <c r="E19" s="2">
        <v>0.104</v>
      </c>
      <c r="F19" s="2">
        <v>8.2000000000000007E-3</v>
      </c>
      <c r="G19" s="2">
        <v>1.66E-2</v>
      </c>
      <c r="H19" s="2">
        <v>0.33</v>
      </c>
      <c r="I19" s="2">
        <v>1.6000000000000001E-3</v>
      </c>
      <c r="J19" s="2">
        <v>2.5000000000000001E-3</v>
      </c>
      <c r="K19" s="2">
        <v>5.3E-3</v>
      </c>
      <c r="L19" s="2">
        <v>5.0000000000000001E-4</v>
      </c>
      <c r="M19" s="2">
        <v>5.0000000000000001E-4</v>
      </c>
      <c r="N19" s="2">
        <v>0.11799999999999999</v>
      </c>
      <c r="O19" s="8">
        <v>0</v>
      </c>
      <c r="P19" s="8">
        <v>1</v>
      </c>
      <c r="Q19" s="8">
        <v>0</v>
      </c>
      <c r="R19" s="6">
        <v>10000084</v>
      </c>
      <c r="S19" s="7">
        <v>67.592500000000001</v>
      </c>
      <c r="T19" s="6">
        <v>1</v>
      </c>
    </row>
    <row r="20" spans="1:20" ht="15.75">
      <c r="A20" s="3">
        <v>1</v>
      </c>
      <c r="B20" s="4" t="s">
        <v>15</v>
      </c>
      <c r="C20" s="5">
        <f t="shared" si="0"/>
        <v>92.112799999999993</v>
      </c>
      <c r="D20" s="2">
        <v>7.3</v>
      </c>
      <c r="E20" s="2">
        <v>0.104</v>
      </c>
      <c r="F20" s="2">
        <v>8.2000000000000007E-3</v>
      </c>
      <c r="G20" s="2">
        <v>1.66E-2</v>
      </c>
      <c r="H20" s="2">
        <v>0.33</v>
      </c>
      <c r="I20" s="2">
        <v>1.6000000000000001E-3</v>
      </c>
      <c r="J20" s="2">
        <v>2.5000000000000001E-3</v>
      </c>
      <c r="K20" s="2">
        <v>5.3E-3</v>
      </c>
      <c r="L20" s="2">
        <v>5.0000000000000001E-4</v>
      </c>
      <c r="M20" s="2">
        <v>5.0000000000000001E-4</v>
      </c>
      <c r="N20" s="2">
        <v>0.11799999999999999</v>
      </c>
      <c r="O20" s="8">
        <v>0</v>
      </c>
      <c r="P20" s="8">
        <v>1</v>
      </c>
      <c r="Q20" s="8">
        <v>0</v>
      </c>
      <c r="R20" s="6">
        <v>10000089</v>
      </c>
      <c r="S20" s="7">
        <v>67.592500000000001</v>
      </c>
      <c r="T20" s="6">
        <v>1</v>
      </c>
    </row>
    <row r="21" spans="1:20" ht="15.75">
      <c r="A21" s="3">
        <v>1</v>
      </c>
      <c r="B21" s="4" t="s">
        <v>15</v>
      </c>
      <c r="C21" s="5">
        <f t="shared" si="0"/>
        <v>92.112799999999993</v>
      </c>
      <c r="D21" s="2">
        <v>7.3</v>
      </c>
      <c r="E21" s="2">
        <v>0.104</v>
      </c>
      <c r="F21" s="2">
        <v>8.2000000000000007E-3</v>
      </c>
      <c r="G21" s="2">
        <v>1.66E-2</v>
      </c>
      <c r="H21" s="2">
        <v>0.33</v>
      </c>
      <c r="I21" s="2">
        <v>1.6000000000000001E-3</v>
      </c>
      <c r="J21" s="2">
        <v>2.5000000000000001E-3</v>
      </c>
      <c r="K21" s="2">
        <v>5.3E-3</v>
      </c>
      <c r="L21" s="2">
        <v>5.0000000000000001E-4</v>
      </c>
      <c r="M21" s="2">
        <v>5.0000000000000001E-4</v>
      </c>
      <c r="N21" s="2">
        <v>0.11799999999999999</v>
      </c>
      <c r="O21" s="8">
        <v>0</v>
      </c>
      <c r="P21" s="8">
        <v>1</v>
      </c>
      <c r="Q21" s="8">
        <v>0</v>
      </c>
      <c r="R21" s="6">
        <v>10000103</v>
      </c>
      <c r="S21" s="7">
        <v>57.987250000000003</v>
      </c>
      <c r="T21" s="6">
        <v>1</v>
      </c>
    </row>
    <row r="22" spans="1:20" ht="15.75">
      <c r="A22" s="3">
        <v>1</v>
      </c>
      <c r="B22" s="4" t="s">
        <v>15</v>
      </c>
      <c r="C22" s="5">
        <f t="shared" si="0"/>
        <v>92.112799999999993</v>
      </c>
      <c r="D22" s="2">
        <v>7.3</v>
      </c>
      <c r="E22" s="2">
        <v>0.104</v>
      </c>
      <c r="F22" s="2">
        <v>8.2000000000000007E-3</v>
      </c>
      <c r="G22" s="2">
        <v>1.66E-2</v>
      </c>
      <c r="H22" s="2">
        <v>0.33</v>
      </c>
      <c r="I22" s="2">
        <v>1.6000000000000001E-3</v>
      </c>
      <c r="J22" s="2">
        <v>2.5000000000000001E-3</v>
      </c>
      <c r="K22" s="2">
        <v>5.3E-3</v>
      </c>
      <c r="L22" s="2">
        <v>5.0000000000000001E-4</v>
      </c>
      <c r="M22" s="2">
        <v>5.0000000000000001E-4</v>
      </c>
      <c r="N22" s="2">
        <v>0.11799999999999999</v>
      </c>
      <c r="O22" s="8">
        <v>0</v>
      </c>
      <c r="P22" s="8">
        <v>1</v>
      </c>
      <c r="Q22" s="8">
        <v>0</v>
      </c>
      <c r="R22" s="6">
        <v>10000106</v>
      </c>
      <c r="S22" s="7">
        <v>62.612000000000002</v>
      </c>
      <c r="T22" s="6">
        <v>1</v>
      </c>
    </row>
    <row r="23" spans="1:20" ht="15.75">
      <c r="A23" s="3">
        <v>4</v>
      </c>
      <c r="B23" s="12" t="s">
        <v>15</v>
      </c>
      <c r="C23" s="5">
        <f t="shared" ref="C23:C40" si="1">100-SUM(D23:N23)</f>
        <v>92.315020000000004</v>
      </c>
      <c r="D23" s="2">
        <v>7.03</v>
      </c>
      <c r="E23" s="2">
        <v>0.12</v>
      </c>
      <c r="F23" s="2">
        <v>3.0999999999999999E-3</v>
      </c>
      <c r="G23" s="2">
        <v>4.3200000000000002E-2</v>
      </c>
      <c r="H23" s="2">
        <v>0.34799999999999998</v>
      </c>
      <c r="I23" s="2">
        <v>8.9999999999999998E-4</v>
      </c>
      <c r="J23" s="2">
        <v>2.3999999999999998E-3</v>
      </c>
      <c r="K23" s="2">
        <v>8.2000000000000007E-3</v>
      </c>
      <c r="L23" s="2">
        <v>6.8000000000000005E-4</v>
      </c>
      <c r="M23" s="2">
        <v>5.0000000000000001E-4</v>
      </c>
      <c r="N23" s="2">
        <v>0.128</v>
      </c>
      <c r="O23" s="8">
        <v>0</v>
      </c>
      <c r="P23" s="8">
        <v>1</v>
      </c>
      <c r="Q23" s="8">
        <v>0</v>
      </c>
      <c r="R23" s="6">
        <v>14009</v>
      </c>
      <c r="S23" s="7">
        <v>240.13125000000002</v>
      </c>
      <c r="T23" s="6">
        <v>0</v>
      </c>
    </row>
    <row r="24" spans="1:20" ht="15.75">
      <c r="A24" s="3">
        <v>4</v>
      </c>
      <c r="B24" s="12" t="s">
        <v>15</v>
      </c>
      <c r="C24" s="5">
        <f t="shared" si="1"/>
        <v>92.314920000000001</v>
      </c>
      <c r="D24" s="2">
        <v>7.03</v>
      </c>
      <c r="E24" s="2">
        <v>0.12</v>
      </c>
      <c r="F24" s="2">
        <v>3.0999999999999999E-3</v>
      </c>
      <c r="G24" s="2">
        <v>4.3200000000000002E-2</v>
      </c>
      <c r="H24" s="2">
        <v>0.34799999999999998</v>
      </c>
      <c r="I24" s="2">
        <v>8.9999999999999998E-4</v>
      </c>
      <c r="J24" s="2">
        <v>2.3999999999999998E-3</v>
      </c>
      <c r="K24" s="2">
        <v>8.2000000000000007E-3</v>
      </c>
      <c r="L24" s="2">
        <v>6.8000000000000005E-4</v>
      </c>
      <c r="M24" s="2">
        <v>5.9999999999999995E-4</v>
      </c>
      <c r="N24" s="2">
        <v>0.128</v>
      </c>
      <c r="O24" s="8">
        <v>0</v>
      </c>
      <c r="P24" s="8">
        <v>1</v>
      </c>
      <c r="Q24" s="8">
        <v>0</v>
      </c>
      <c r="R24" s="6">
        <v>14823</v>
      </c>
      <c r="S24" s="7">
        <v>145.50175000000002</v>
      </c>
      <c r="T24" s="6">
        <v>0</v>
      </c>
    </row>
    <row r="25" spans="1:20" ht="15.75">
      <c r="A25" s="3">
        <v>4</v>
      </c>
      <c r="B25" s="12" t="s">
        <v>15</v>
      </c>
      <c r="C25" s="5">
        <f t="shared" si="1"/>
        <v>92.314819999999997</v>
      </c>
      <c r="D25" s="2">
        <v>7.03</v>
      </c>
      <c r="E25" s="2">
        <v>0.12</v>
      </c>
      <c r="F25" s="2">
        <v>3.0999999999999999E-3</v>
      </c>
      <c r="G25" s="2">
        <v>4.3200000000000002E-2</v>
      </c>
      <c r="H25" s="2">
        <v>0.34799999999999998</v>
      </c>
      <c r="I25" s="2">
        <v>8.9999999999999998E-4</v>
      </c>
      <c r="J25" s="2">
        <v>2.3999999999999998E-3</v>
      </c>
      <c r="K25" s="2">
        <v>8.2000000000000007E-3</v>
      </c>
      <c r="L25" s="2">
        <v>6.8000000000000005E-4</v>
      </c>
      <c r="M25" s="2">
        <v>6.9999999999999999E-4</v>
      </c>
      <c r="N25" s="2">
        <v>0.128</v>
      </c>
      <c r="O25" s="8">
        <v>0</v>
      </c>
      <c r="P25" s="8">
        <v>1</v>
      </c>
      <c r="Q25" s="8">
        <v>0</v>
      </c>
      <c r="R25" s="6">
        <v>27433</v>
      </c>
      <c r="S25" s="7">
        <v>192.10500000000002</v>
      </c>
      <c r="T25" s="6">
        <v>0</v>
      </c>
    </row>
    <row r="26" spans="1:20" ht="15.75">
      <c r="A26" s="3">
        <v>4</v>
      </c>
      <c r="B26" s="12" t="s">
        <v>15</v>
      </c>
      <c r="C26" s="5">
        <f t="shared" si="1"/>
        <v>92.314719999999994</v>
      </c>
      <c r="D26" s="2">
        <v>7.03</v>
      </c>
      <c r="E26" s="2">
        <v>0.12</v>
      </c>
      <c r="F26" s="2">
        <v>3.0999999999999999E-3</v>
      </c>
      <c r="G26" s="2">
        <v>4.3200000000000002E-2</v>
      </c>
      <c r="H26" s="2">
        <v>0.34799999999999998</v>
      </c>
      <c r="I26" s="2">
        <v>8.9999999999999998E-4</v>
      </c>
      <c r="J26" s="2">
        <v>2.3999999999999998E-3</v>
      </c>
      <c r="K26" s="2">
        <v>8.2000000000000007E-3</v>
      </c>
      <c r="L26" s="2">
        <v>6.8000000000000005E-4</v>
      </c>
      <c r="M26" s="2">
        <v>8.0000000000000004E-4</v>
      </c>
      <c r="N26" s="2">
        <v>0.128</v>
      </c>
      <c r="O26" s="8">
        <v>0</v>
      </c>
      <c r="P26" s="8">
        <v>1</v>
      </c>
      <c r="Q26" s="8">
        <v>0</v>
      </c>
      <c r="R26" s="6">
        <v>66863</v>
      </c>
      <c r="S26" s="7">
        <v>169.58602500000001</v>
      </c>
      <c r="T26" s="6">
        <v>0</v>
      </c>
    </row>
    <row r="27" spans="1:20" ht="15.75">
      <c r="A27" s="3">
        <v>4</v>
      </c>
      <c r="B27" s="12" t="s">
        <v>15</v>
      </c>
      <c r="C27" s="5">
        <f t="shared" si="1"/>
        <v>92.314620000000005</v>
      </c>
      <c r="D27" s="2">
        <v>7.03</v>
      </c>
      <c r="E27" s="2">
        <v>0.12</v>
      </c>
      <c r="F27" s="2">
        <v>3.0999999999999999E-3</v>
      </c>
      <c r="G27" s="2">
        <v>4.3200000000000002E-2</v>
      </c>
      <c r="H27" s="2">
        <v>0.34799999999999998</v>
      </c>
      <c r="I27" s="2">
        <v>8.9999999999999998E-4</v>
      </c>
      <c r="J27" s="2">
        <v>2.3999999999999998E-3</v>
      </c>
      <c r="K27" s="2">
        <v>8.2000000000000007E-3</v>
      </c>
      <c r="L27" s="2">
        <v>6.8000000000000005E-4</v>
      </c>
      <c r="M27" s="2">
        <v>8.9999999999999998E-4</v>
      </c>
      <c r="N27" s="2">
        <v>0.128</v>
      </c>
      <c r="O27" s="8">
        <v>0</v>
      </c>
      <c r="P27" s="8">
        <v>1</v>
      </c>
      <c r="Q27" s="8">
        <v>0</v>
      </c>
      <c r="R27" s="6">
        <v>91377</v>
      </c>
      <c r="S27" s="7">
        <v>156.88575</v>
      </c>
      <c r="T27" s="6">
        <v>0</v>
      </c>
    </row>
    <row r="28" spans="1:20" ht="15.75">
      <c r="A28" s="3">
        <v>4</v>
      </c>
      <c r="B28" s="12" t="s">
        <v>15</v>
      </c>
      <c r="C28" s="5">
        <f t="shared" si="1"/>
        <v>92.314520000000002</v>
      </c>
      <c r="D28" s="2">
        <v>7.03</v>
      </c>
      <c r="E28" s="2">
        <v>0.12</v>
      </c>
      <c r="F28" s="2">
        <v>3.0999999999999999E-3</v>
      </c>
      <c r="G28" s="2">
        <v>4.3200000000000002E-2</v>
      </c>
      <c r="H28" s="2">
        <v>0.34799999999999998</v>
      </c>
      <c r="I28" s="2">
        <v>8.9999999999999998E-4</v>
      </c>
      <c r="J28" s="2">
        <v>2.3999999999999998E-3</v>
      </c>
      <c r="K28" s="2">
        <v>8.2000000000000007E-3</v>
      </c>
      <c r="L28" s="2">
        <v>6.8000000000000005E-4</v>
      </c>
      <c r="M28" s="2">
        <v>1E-3</v>
      </c>
      <c r="N28" s="2">
        <v>0.128</v>
      </c>
      <c r="O28" s="8">
        <v>0</v>
      </c>
      <c r="P28" s="8">
        <v>1</v>
      </c>
      <c r="Q28" s="8">
        <v>0</v>
      </c>
      <c r="R28" s="6">
        <v>230870</v>
      </c>
      <c r="S28" s="7">
        <v>134.4735</v>
      </c>
      <c r="T28" s="6">
        <v>0</v>
      </c>
    </row>
    <row r="29" spans="1:20" ht="15.75">
      <c r="A29" s="3">
        <v>4</v>
      </c>
      <c r="B29" s="12" t="s">
        <v>15</v>
      </c>
      <c r="C29" s="5">
        <f t="shared" si="1"/>
        <v>92.314419999999998</v>
      </c>
      <c r="D29" s="2">
        <v>7.03</v>
      </c>
      <c r="E29" s="2">
        <v>0.12</v>
      </c>
      <c r="F29" s="2">
        <v>3.0999999999999999E-3</v>
      </c>
      <c r="G29" s="2">
        <v>4.3200000000000002E-2</v>
      </c>
      <c r="H29" s="2">
        <v>0.34799999999999998</v>
      </c>
      <c r="I29" s="2">
        <v>8.9999999999999998E-4</v>
      </c>
      <c r="J29" s="2">
        <v>2.3999999999999998E-3</v>
      </c>
      <c r="K29" s="2">
        <v>8.2000000000000007E-3</v>
      </c>
      <c r="L29" s="2">
        <v>6.8000000000000005E-4</v>
      </c>
      <c r="M29" s="2">
        <v>1.1000000000000001E-3</v>
      </c>
      <c r="N29" s="2">
        <v>0.128</v>
      </c>
      <c r="O29" s="8">
        <v>0</v>
      </c>
      <c r="P29" s="8">
        <v>1</v>
      </c>
      <c r="Q29" s="8">
        <v>0</v>
      </c>
      <c r="R29" s="6">
        <v>355297</v>
      </c>
      <c r="S29" s="7">
        <v>98.898500000000013</v>
      </c>
      <c r="T29" s="6">
        <v>0</v>
      </c>
    </row>
    <row r="30" spans="1:20" ht="15.75">
      <c r="A30" s="3">
        <v>4</v>
      </c>
      <c r="B30" s="12" t="s">
        <v>15</v>
      </c>
      <c r="C30" s="5">
        <f t="shared" si="1"/>
        <v>92.314319999999995</v>
      </c>
      <c r="D30" s="2">
        <v>7.03</v>
      </c>
      <c r="E30" s="2">
        <v>0.12</v>
      </c>
      <c r="F30" s="2">
        <v>3.0999999999999999E-3</v>
      </c>
      <c r="G30" s="2">
        <v>4.3200000000000002E-2</v>
      </c>
      <c r="H30" s="2">
        <v>0.34799999999999998</v>
      </c>
      <c r="I30" s="2">
        <v>8.9999999999999998E-4</v>
      </c>
      <c r="J30" s="2">
        <v>2.3999999999999998E-3</v>
      </c>
      <c r="K30" s="2">
        <v>8.2000000000000007E-3</v>
      </c>
      <c r="L30" s="2">
        <v>6.8000000000000005E-4</v>
      </c>
      <c r="M30" s="2">
        <v>1.1999999999999999E-3</v>
      </c>
      <c r="N30" s="2">
        <v>0.128</v>
      </c>
      <c r="O30" s="8">
        <v>0</v>
      </c>
      <c r="P30" s="8">
        <v>1</v>
      </c>
      <c r="Q30" s="8">
        <v>0</v>
      </c>
      <c r="R30" s="6">
        <v>372672</v>
      </c>
      <c r="S30" s="7">
        <v>91.783500000000004</v>
      </c>
      <c r="T30" s="6">
        <v>0</v>
      </c>
    </row>
    <row r="31" spans="1:20" ht="15.75">
      <c r="A31" s="3">
        <v>4</v>
      </c>
      <c r="B31" s="12" t="s">
        <v>15</v>
      </c>
      <c r="C31" s="5">
        <f t="shared" si="1"/>
        <v>92.314220000000006</v>
      </c>
      <c r="D31" s="2">
        <v>7.03</v>
      </c>
      <c r="E31" s="2">
        <v>0.12</v>
      </c>
      <c r="F31" s="2">
        <v>3.0999999999999999E-3</v>
      </c>
      <c r="G31" s="2">
        <v>4.3200000000000002E-2</v>
      </c>
      <c r="H31" s="2">
        <v>0.34799999999999998</v>
      </c>
      <c r="I31" s="2">
        <v>8.9999999999999998E-4</v>
      </c>
      <c r="J31" s="2">
        <v>2.3999999999999998E-3</v>
      </c>
      <c r="K31" s="2">
        <v>8.2000000000000007E-3</v>
      </c>
      <c r="L31" s="2">
        <v>6.8000000000000005E-4</v>
      </c>
      <c r="M31" s="2">
        <v>1.2999999999999999E-3</v>
      </c>
      <c r="N31" s="2">
        <v>0.128</v>
      </c>
      <c r="O31" s="8">
        <v>0</v>
      </c>
      <c r="P31" s="8">
        <v>1</v>
      </c>
      <c r="Q31" s="8">
        <v>0</v>
      </c>
      <c r="R31" s="6">
        <v>422572</v>
      </c>
      <c r="S31" s="7">
        <v>115.26300000000001</v>
      </c>
      <c r="T31" s="6">
        <v>0</v>
      </c>
    </row>
    <row r="32" spans="1:20" ht="15.75">
      <c r="A32" s="3">
        <v>4</v>
      </c>
      <c r="B32" s="12" t="s">
        <v>15</v>
      </c>
      <c r="C32" s="5">
        <f t="shared" si="1"/>
        <v>92.314120000000003</v>
      </c>
      <c r="D32" s="2">
        <v>7.03</v>
      </c>
      <c r="E32" s="2">
        <v>0.12</v>
      </c>
      <c r="F32" s="2">
        <v>3.0999999999999999E-3</v>
      </c>
      <c r="G32" s="2">
        <v>4.3200000000000002E-2</v>
      </c>
      <c r="H32" s="2">
        <v>0.34799999999999998</v>
      </c>
      <c r="I32" s="2">
        <v>8.9999999999999998E-4</v>
      </c>
      <c r="J32" s="2">
        <v>2.3999999999999998E-3</v>
      </c>
      <c r="K32" s="2">
        <v>8.2000000000000007E-3</v>
      </c>
      <c r="L32" s="2">
        <v>6.8000000000000005E-4</v>
      </c>
      <c r="M32" s="2">
        <v>1.4E-3</v>
      </c>
      <c r="N32" s="2">
        <v>0.128</v>
      </c>
      <c r="O32" s="8">
        <v>0</v>
      </c>
      <c r="P32" s="8">
        <v>1</v>
      </c>
      <c r="Q32" s="8">
        <v>0</v>
      </c>
      <c r="R32" s="6">
        <v>427476</v>
      </c>
      <c r="S32" s="7">
        <v>106.72500000000001</v>
      </c>
      <c r="T32" s="6">
        <v>0</v>
      </c>
    </row>
    <row r="33" spans="1:20" ht="15.75">
      <c r="A33" s="3">
        <v>4</v>
      </c>
      <c r="B33" s="12" t="s">
        <v>15</v>
      </c>
      <c r="C33" s="5">
        <f t="shared" si="1"/>
        <v>92.314019999999999</v>
      </c>
      <c r="D33" s="2">
        <v>7.03</v>
      </c>
      <c r="E33" s="2">
        <v>0.12</v>
      </c>
      <c r="F33" s="2">
        <v>3.0999999999999999E-3</v>
      </c>
      <c r="G33" s="2">
        <v>4.3200000000000002E-2</v>
      </c>
      <c r="H33" s="2">
        <v>0.34799999999999998</v>
      </c>
      <c r="I33" s="2">
        <v>8.9999999999999998E-4</v>
      </c>
      <c r="J33" s="2">
        <v>2.3999999999999998E-3</v>
      </c>
      <c r="K33" s="2">
        <v>8.2000000000000007E-3</v>
      </c>
      <c r="L33" s="2">
        <v>6.8000000000000005E-4</v>
      </c>
      <c r="M33" s="2">
        <v>1.5E-3</v>
      </c>
      <c r="N33" s="2">
        <v>0.128</v>
      </c>
      <c r="O33" s="8">
        <v>0</v>
      </c>
      <c r="P33" s="8">
        <v>1</v>
      </c>
      <c r="Q33" s="8">
        <v>0</v>
      </c>
      <c r="R33" s="6">
        <v>692127</v>
      </c>
      <c r="S33" s="7">
        <v>91.783500000000004</v>
      </c>
      <c r="T33" s="6">
        <v>0</v>
      </c>
    </row>
    <row r="34" spans="1:20" ht="15.75">
      <c r="A34" s="3">
        <v>4</v>
      </c>
      <c r="B34" s="12" t="s">
        <v>15</v>
      </c>
      <c r="C34" s="5">
        <f t="shared" si="1"/>
        <v>92.313919999999996</v>
      </c>
      <c r="D34" s="2">
        <v>7.03</v>
      </c>
      <c r="E34" s="2">
        <v>0.12</v>
      </c>
      <c r="F34" s="2">
        <v>3.0999999999999999E-3</v>
      </c>
      <c r="G34" s="2">
        <v>4.3200000000000002E-2</v>
      </c>
      <c r="H34" s="2">
        <v>0.34799999999999998</v>
      </c>
      <c r="I34" s="2">
        <v>8.9999999999999998E-4</v>
      </c>
      <c r="J34" s="2">
        <v>2.3999999999999998E-3</v>
      </c>
      <c r="K34" s="2">
        <v>8.2000000000000007E-3</v>
      </c>
      <c r="L34" s="2">
        <v>6.8000000000000005E-4</v>
      </c>
      <c r="M34" s="2">
        <v>1.6000000000000001E-3</v>
      </c>
      <c r="N34" s="2">
        <v>0.128</v>
      </c>
      <c r="O34" s="8">
        <v>0</v>
      </c>
      <c r="P34" s="8">
        <v>1</v>
      </c>
      <c r="Q34" s="8">
        <v>0</v>
      </c>
      <c r="R34" s="6">
        <v>719897</v>
      </c>
      <c r="S34" s="7">
        <v>84.668500000000009</v>
      </c>
      <c r="T34" s="6">
        <v>0</v>
      </c>
    </row>
    <row r="35" spans="1:20" ht="15.75">
      <c r="A35" s="3">
        <v>4</v>
      </c>
      <c r="B35" s="12" t="s">
        <v>15</v>
      </c>
      <c r="C35" s="5">
        <f t="shared" si="1"/>
        <v>92.313820000000007</v>
      </c>
      <c r="D35" s="2">
        <v>7.03</v>
      </c>
      <c r="E35" s="2">
        <v>0.12</v>
      </c>
      <c r="F35" s="2">
        <v>3.0999999999999999E-3</v>
      </c>
      <c r="G35" s="2">
        <v>4.3200000000000002E-2</v>
      </c>
      <c r="H35" s="2">
        <v>0.34799999999999998</v>
      </c>
      <c r="I35" s="2">
        <v>8.9999999999999998E-4</v>
      </c>
      <c r="J35" s="2">
        <v>2.3999999999999998E-3</v>
      </c>
      <c r="K35" s="2">
        <v>8.2000000000000007E-3</v>
      </c>
      <c r="L35" s="2">
        <v>6.8000000000000005E-4</v>
      </c>
      <c r="M35" s="2">
        <v>1.6999999999999999E-3</v>
      </c>
      <c r="N35" s="2">
        <v>0.128</v>
      </c>
      <c r="O35" s="8">
        <v>0</v>
      </c>
      <c r="P35" s="8">
        <v>1</v>
      </c>
      <c r="Q35" s="8">
        <v>0</v>
      </c>
      <c r="R35" s="6">
        <v>759372</v>
      </c>
      <c r="S35" s="7">
        <v>84.668500000000009</v>
      </c>
      <c r="T35" s="6">
        <v>0</v>
      </c>
    </row>
    <row r="36" spans="1:20" ht="15.75">
      <c r="A36" s="3">
        <v>4</v>
      </c>
      <c r="B36" s="12" t="s">
        <v>15</v>
      </c>
      <c r="C36" s="5">
        <f t="shared" si="1"/>
        <v>92.313720000000004</v>
      </c>
      <c r="D36" s="2">
        <v>7.03</v>
      </c>
      <c r="E36" s="2">
        <v>0.12</v>
      </c>
      <c r="F36" s="2">
        <v>3.0999999999999999E-3</v>
      </c>
      <c r="G36" s="2">
        <v>4.3200000000000002E-2</v>
      </c>
      <c r="H36" s="2">
        <v>0.34799999999999998</v>
      </c>
      <c r="I36" s="2">
        <v>8.9999999999999998E-4</v>
      </c>
      <c r="J36" s="2">
        <v>2.3999999999999998E-3</v>
      </c>
      <c r="K36" s="2">
        <v>8.2000000000000007E-3</v>
      </c>
      <c r="L36" s="2">
        <v>6.8000000000000005E-4</v>
      </c>
      <c r="M36" s="2">
        <v>1.8E-3</v>
      </c>
      <c r="N36" s="2">
        <v>0.128</v>
      </c>
      <c r="O36" s="8">
        <v>0</v>
      </c>
      <c r="P36" s="8">
        <v>1</v>
      </c>
      <c r="Q36" s="8">
        <v>0</v>
      </c>
      <c r="R36" s="6">
        <v>1305941</v>
      </c>
      <c r="S36" s="7">
        <v>84.668500000000009</v>
      </c>
      <c r="T36" s="6">
        <v>0</v>
      </c>
    </row>
    <row r="37" spans="1:20" ht="15.75">
      <c r="A37" s="3">
        <v>4</v>
      </c>
      <c r="B37" s="12" t="s">
        <v>15</v>
      </c>
      <c r="C37" s="5">
        <f t="shared" si="1"/>
        <v>92.31362</v>
      </c>
      <c r="D37" s="2">
        <v>7.03</v>
      </c>
      <c r="E37" s="2">
        <v>0.12</v>
      </c>
      <c r="F37" s="2">
        <v>3.0999999999999999E-3</v>
      </c>
      <c r="G37" s="2">
        <v>4.3200000000000002E-2</v>
      </c>
      <c r="H37" s="2">
        <v>0.34799999999999998</v>
      </c>
      <c r="I37" s="2">
        <v>8.9999999999999998E-4</v>
      </c>
      <c r="J37" s="2">
        <v>2.3999999999999998E-3</v>
      </c>
      <c r="K37" s="2">
        <v>8.2000000000000007E-3</v>
      </c>
      <c r="L37" s="2">
        <v>6.8000000000000005E-4</v>
      </c>
      <c r="M37" s="2">
        <v>1.9E-3</v>
      </c>
      <c r="N37" s="2">
        <v>0.128</v>
      </c>
      <c r="O37" s="8">
        <v>0</v>
      </c>
      <c r="P37" s="8">
        <v>1</v>
      </c>
      <c r="Q37" s="8">
        <v>0</v>
      </c>
      <c r="R37" s="6">
        <v>1818832</v>
      </c>
      <c r="S37" s="7">
        <v>78.620750000000001</v>
      </c>
      <c r="T37" s="6">
        <v>0</v>
      </c>
    </row>
    <row r="38" spans="1:20" ht="15.75">
      <c r="A38" s="3">
        <v>4</v>
      </c>
      <c r="B38" s="12" t="s">
        <v>15</v>
      </c>
      <c r="C38" s="5">
        <f t="shared" si="1"/>
        <v>92.313519999999997</v>
      </c>
      <c r="D38" s="2">
        <v>7.03</v>
      </c>
      <c r="E38" s="2">
        <v>0.12</v>
      </c>
      <c r="F38" s="2">
        <v>3.0999999999999999E-3</v>
      </c>
      <c r="G38" s="2">
        <v>4.3200000000000002E-2</v>
      </c>
      <c r="H38" s="2">
        <v>0.34799999999999998</v>
      </c>
      <c r="I38" s="2">
        <v>8.9999999999999998E-4</v>
      </c>
      <c r="J38" s="2">
        <v>2.3999999999999998E-3</v>
      </c>
      <c r="K38" s="2">
        <v>8.2000000000000007E-3</v>
      </c>
      <c r="L38" s="2">
        <v>6.8000000000000005E-4</v>
      </c>
      <c r="M38" s="2">
        <v>2E-3</v>
      </c>
      <c r="N38" s="2">
        <v>0.128</v>
      </c>
      <c r="O38" s="8">
        <v>0</v>
      </c>
      <c r="P38" s="8">
        <v>1</v>
      </c>
      <c r="Q38" s="8">
        <v>0</v>
      </c>
      <c r="R38" s="6">
        <v>1975940</v>
      </c>
      <c r="S38" s="7">
        <v>78.620750000000001</v>
      </c>
      <c r="T38" s="6">
        <v>0</v>
      </c>
    </row>
    <row r="39" spans="1:20" ht="15.75">
      <c r="A39" s="3">
        <v>4</v>
      </c>
      <c r="B39" s="12" t="s">
        <v>15</v>
      </c>
      <c r="C39" s="5">
        <f t="shared" si="1"/>
        <v>92.313419999999994</v>
      </c>
      <c r="D39" s="2">
        <v>7.03</v>
      </c>
      <c r="E39" s="2">
        <v>0.12</v>
      </c>
      <c r="F39" s="2">
        <v>3.0999999999999999E-3</v>
      </c>
      <c r="G39" s="2">
        <v>4.3200000000000002E-2</v>
      </c>
      <c r="H39" s="2">
        <v>0.34799999999999998</v>
      </c>
      <c r="I39" s="2">
        <v>8.9999999999999998E-4</v>
      </c>
      <c r="J39" s="2">
        <v>2.3999999999999998E-3</v>
      </c>
      <c r="K39" s="2">
        <v>8.2000000000000007E-3</v>
      </c>
      <c r="L39" s="2">
        <v>6.8000000000000005E-4</v>
      </c>
      <c r="M39" s="2">
        <v>2.0999999999999999E-3</v>
      </c>
      <c r="N39" s="2">
        <v>0.128</v>
      </c>
      <c r="O39" s="8">
        <v>0</v>
      </c>
      <c r="P39" s="8">
        <v>1</v>
      </c>
      <c r="Q39" s="8">
        <v>0</v>
      </c>
      <c r="R39" s="6">
        <v>2027306</v>
      </c>
      <c r="S39" s="7">
        <v>72.573000000000008</v>
      </c>
      <c r="T39" s="6">
        <v>0</v>
      </c>
    </row>
    <row r="40" spans="1:20" ht="15.75">
      <c r="A40" s="3">
        <v>4</v>
      </c>
      <c r="B40" s="12" t="s">
        <v>15</v>
      </c>
      <c r="C40" s="5">
        <f t="shared" si="1"/>
        <v>92.313320000000004</v>
      </c>
      <c r="D40" s="2">
        <v>7.03</v>
      </c>
      <c r="E40" s="2">
        <v>0.12</v>
      </c>
      <c r="F40" s="2">
        <v>3.0999999999999999E-3</v>
      </c>
      <c r="G40" s="2">
        <v>4.3200000000000002E-2</v>
      </c>
      <c r="H40" s="2">
        <v>0.34799999999999998</v>
      </c>
      <c r="I40" s="2">
        <v>8.9999999999999998E-4</v>
      </c>
      <c r="J40" s="2">
        <v>2.3999999999999998E-3</v>
      </c>
      <c r="K40" s="2">
        <v>8.2000000000000007E-3</v>
      </c>
      <c r="L40" s="2">
        <v>6.8000000000000005E-4</v>
      </c>
      <c r="M40" s="2">
        <v>2.2000000000000001E-3</v>
      </c>
      <c r="N40" s="2">
        <v>0.128</v>
      </c>
      <c r="O40" s="8">
        <v>0</v>
      </c>
      <c r="P40" s="8">
        <v>1</v>
      </c>
      <c r="Q40" s="8">
        <v>0</v>
      </c>
      <c r="R40" s="6">
        <v>3126784</v>
      </c>
      <c r="S40" s="7">
        <v>72.573000000000008</v>
      </c>
      <c r="T40" s="6">
        <v>0</v>
      </c>
    </row>
    <row r="41" spans="1:20" ht="15.75">
      <c r="A41" s="3">
        <v>4</v>
      </c>
      <c r="B41" s="12" t="s">
        <v>15</v>
      </c>
      <c r="C41" s="5">
        <f t="shared" ref="C41:C43" si="2">100-SUM(D41:N41)</f>
        <v>92.313220000000001</v>
      </c>
      <c r="D41" s="2">
        <v>7.03</v>
      </c>
      <c r="E41" s="2">
        <v>0.12</v>
      </c>
      <c r="F41" s="2">
        <v>3.0999999999999999E-3</v>
      </c>
      <c r="G41" s="2">
        <v>4.3200000000000002E-2</v>
      </c>
      <c r="H41" s="2">
        <v>0.34799999999999998</v>
      </c>
      <c r="I41" s="2">
        <v>8.9999999999999998E-4</v>
      </c>
      <c r="J41" s="2">
        <v>2.3999999999999998E-3</v>
      </c>
      <c r="K41" s="2">
        <v>8.2000000000000007E-3</v>
      </c>
      <c r="L41" s="2">
        <v>6.8000000000000005E-4</v>
      </c>
      <c r="M41" s="2">
        <v>2.3E-3</v>
      </c>
      <c r="N41" s="2">
        <v>0.128</v>
      </c>
      <c r="O41" s="8">
        <v>0</v>
      </c>
      <c r="P41" s="8">
        <v>1</v>
      </c>
      <c r="Q41" s="8">
        <v>0</v>
      </c>
      <c r="R41" s="6">
        <v>3152047</v>
      </c>
      <c r="S41" s="7">
        <v>124.5125</v>
      </c>
      <c r="T41" s="6">
        <v>0</v>
      </c>
    </row>
    <row r="42" spans="1:20" ht="15.75">
      <c r="A42" s="3">
        <v>4</v>
      </c>
      <c r="B42" s="12" t="s">
        <v>15</v>
      </c>
      <c r="C42" s="5">
        <f t="shared" si="2"/>
        <v>92.313119999999998</v>
      </c>
      <c r="D42" s="2">
        <v>7.03</v>
      </c>
      <c r="E42" s="2">
        <v>0.12</v>
      </c>
      <c r="F42" s="2">
        <v>3.0999999999999999E-3</v>
      </c>
      <c r="G42" s="2">
        <v>4.3200000000000002E-2</v>
      </c>
      <c r="H42" s="2">
        <v>0.34799999999999998</v>
      </c>
      <c r="I42" s="2">
        <v>8.9999999999999998E-4</v>
      </c>
      <c r="J42" s="2">
        <v>2.3999999999999998E-3</v>
      </c>
      <c r="K42" s="2">
        <v>8.2000000000000007E-3</v>
      </c>
      <c r="L42" s="2">
        <v>6.8000000000000005E-4</v>
      </c>
      <c r="M42" s="2">
        <v>2.3999999999999998E-3</v>
      </c>
      <c r="N42" s="2">
        <v>0.128</v>
      </c>
      <c r="O42" s="8">
        <v>0</v>
      </c>
      <c r="P42" s="8">
        <v>1</v>
      </c>
      <c r="Q42" s="8">
        <v>0</v>
      </c>
      <c r="R42" s="6">
        <v>10000000</v>
      </c>
      <c r="S42" s="7">
        <v>78.620750000000001</v>
      </c>
      <c r="T42" s="6">
        <v>1</v>
      </c>
    </row>
    <row r="43" spans="1:20" ht="15.75">
      <c r="A43" s="3">
        <v>4</v>
      </c>
      <c r="B43" s="12" t="s">
        <v>15</v>
      </c>
      <c r="C43" s="5">
        <f t="shared" si="2"/>
        <v>92.313019999999995</v>
      </c>
      <c r="D43" s="2">
        <v>7.03</v>
      </c>
      <c r="E43" s="2">
        <v>0.12</v>
      </c>
      <c r="F43" s="2">
        <v>3.0999999999999999E-3</v>
      </c>
      <c r="G43" s="2">
        <v>4.3200000000000002E-2</v>
      </c>
      <c r="H43" s="2">
        <v>0.34799999999999998</v>
      </c>
      <c r="I43" s="2">
        <v>8.9999999999999998E-4</v>
      </c>
      <c r="J43" s="2">
        <v>2.3999999999999998E-3</v>
      </c>
      <c r="K43" s="2">
        <v>8.2000000000000007E-3</v>
      </c>
      <c r="L43" s="2">
        <v>6.8000000000000005E-4</v>
      </c>
      <c r="M43" s="2">
        <v>2.5000000000000001E-3</v>
      </c>
      <c r="N43" s="2">
        <v>0.128</v>
      </c>
      <c r="O43" s="8">
        <v>0</v>
      </c>
      <c r="P43" s="8">
        <v>1</v>
      </c>
      <c r="Q43" s="8">
        <v>0</v>
      </c>
      <c r="R43" s="6">
        <v>10000001</v>
      </c>
      <c r="S43" s="7">
        <v>78.620750000000001</v>
      </c>
      <c r="T43" s="6">
        <v>1</v>
      </c>
    </row>
    <row r="44" spans="1:20" ht="15.75">
      <c r="A44" s="3">
        <v>11</v>
      </c>
      <c r="B44" s="6" t="s">
        <v>16</v>
      </c>
      <c r="C44" s="5">
        <f t="shared" ref="C44:C61" si="3">100-SUM(D44:N44)</f>
        <v>95.076729999999998</v>
      </c>
      <c r="D44" s="2">
        <v>0.11700000000000001</v>
      </c>
      <c r="E44" s="2">
        <v>0.26600000000000001</v>
      </c>
      <c r="F44" s="2">
        <v>4.8000000000000001E-2</v>
      </c>
      <c r="G44" s="2">
        <v>0.56100000000000005</v>
      </c>
      <c r="H44" s="2">
        <v>3.84</v>
      </c>
      <c r="I44" s="2">
        <v>5.8900000000000001E-2</v>
      </c>
      <c r="J44" s="2">
        <v>1.6999999999999999E-3</v>
      </c>
      <c r="K44" s="2">
        <v>3.2000000000000002E-3</v>
      </c>
      <c r="L44" s="2">
        <v>5.6999999999999998E-4</v>
      </c>
      <c r="M44" s="2">
        <v>5.0000000000000001E-4</v>
      </c>
      <c r="N44" s="2">
        <v>2.64E-2</v>
      </c>
      <c r="O44" s="8">
        <v>0</v>
      </c>
      <c r="P44" s="8">
        <v>0</v>
      </c>
      <c r="Q44" s="8">
        <v>0</v>
      </c>
      <c r="R44" s="6">
        <v>64394</v>
      </c>
      <c r="S44" s="7">
        <v>157.81710000000001</v>
      </c>
      <c r="T44" s="6">
        <v>0</v>
      </c>
    </row>
    <row r="45" spans="1:20" ht="15.75">
      <c r="A45" s="3">
        <v>11</v>
      </c>
      <c r="B45" s="6" t="s">
        <v>16</v>
      </c>
      <c r="C45" s="5">
        <f t="shared" si="3"/>
        <v>95.076729999999998</v>
      </c>
      <c r="D45" s="2">
        <v>0.11700000000000001</v>
      </c>
      <c r="E45" s="2">
        <v>0.26600000000000001</v>
      </c>
      <c r="F45" s="2">
        <v>4.8000000000000001E-2</v>
      </c>
      <c r="G45" s="2">
        <v>0.56100000000000005</v>
      </c>
      <c r="H45" s="2">
        <v>3.84</v>
      </c>
      <c r="I45" s="2">
        <v>5.8900000000000001E-2</v>
      </c>
      <c r="J45" s="2">
        <v>1.6999999999999999E-3</v>
      </c>
      <c r="K45" s="2">
        <v>3.2000000000000002E-3</v>
      </c>
      <c r="L45" s="2">
        <v>5.6999999999999998E-4</v>
      </c>
      <c r="M45" s="2">
        <v>5.0000000000000001E-4</v>
      </c>
      <c r="N45" s="2">
        <v>2.64E-2</v>
      </c>
      <c r="O45" s="8">
        <v>0</v>
      </c>
      <c r="P45" s="8">
        <v>0</v>
      </c>
      <c r="Q45" s="8">
        <v>0</v>
      </c>
      <c r="R45" s="6">
        <v>269030</v>
      </c>
      <c r="S45" s="7">
        <v>146.14005</v>
      </c>
      <c r="T45" s="6">
        <v>0</v>
      </c>
    </row>
    <row r="46" spans="1:20" ht="15.75">
      <c r="A46" s="3">
        <v>11</v>
      </c>
      <c r="B46" s="6" t="s">
        <v>16</v>
      </c>
      <c r="C46" s="5">
        <f t="shared" si="3"/>
        <v>95.076729999999998</v>
      </c>
      <c r="D46" s="2">
        <v>0.11700000000000001</v>
      </c>
      <c r="E46" s="2">
        <v>0.26600000000000001</v>
      </c>
      <c r="F46" s="2">
        <v>4.8000000000000001E-2</v>
      </c>
      <c r="G46" s="2">
        <v>0.56100000000000005</v>
      </c>
      <c r="H46" s="2">
        <v>3.84</v>
      </c>
      <c r="I46" s="2">
        <v>5.8900000000000001E-2</v>
      </c>
      <c r="J46" s="2">
        <v>1.6999999999999999E-3</v>
      </c>
      <c r="K46" s="2">
        <v>3.2000000000000002E-3</v>
      </c>
      <c r="L46" s="2">
        <v>5.6999999999999998E-4</v>
      </c>
      <c r="M46" s="2">
        <v>5.0000000000000001E-4</v>
      </c>
      <c r="N46" s="2">
        <v>2.64E-2</v>
      </c>
      <c r="O46" s="8">
        <v>0</v>
      </c>
      <c r="P46" s="8">
        <v>0</v>
      </c>
      <c r="Q46" s="8">
        <v>0</v>
      </c>
      <c r="R46" s="6">
        <v>376155</v>
      </c>
      <c r="S46" s="7">
        <v>135.17070000000001</v>
      </c>
      <c r="T46" s="6">
        <v>0</v>
      </c>
    </row>
    <row r="47" spans="1:20" ht="15.75">
      <c r="A47" s="3">
        <v>11</v>
      </c>
      <c r="B47" s="6" t="s">
        <v>16</v>
      </c>
      <c r="C47" s="5">
        <f t="shared" si="3"/>
        <v>95.076729999999998</v>
      </c>
      <c r="D47" s="2">
        <v>0.11700000000000001</v>
      </c>
      <c r="E47" s="2">
        <v>0.26600000000000001</v>
      </c>
      <c r="F47" s="2">
        <v>4.8000000000000001E-2</v>
      </c>
      <c r="G47" s="2">
        <v>0.56100000000000005</v>
      </c>
      <c r="H47" s="2">
        <v>3.84</v>
      </c>
      <c r="I47" s="2">
        <v>5.8900000000000001E-2</v>
      </c>
      <c r="J47" s="2">
        <v>1.6999999999999999E-3</v>
      </c>
      <c r="K47" s="2">
        <v>3.2000000000000002E-3</v>
      </c>
      <c r="L47" s="2">
        <v>5.6999999999999998E-4</v>
      </c>
      <c r="M47" s="2">
        <v>5.0000000000000001E-4</v>
      </c>
      <c r="N47" s="2">
        <v>2.64E-2</v>
      </c>
      <c r="O47" s="8">
        <v>0</v>
      </c>
      <c r="P47" s="8">
        <v>0</v>
      </c>
      <c r="Q47" s="8">
        <v>0</v>
      </c>
      <c r="R47" s="6">
        <v>531286</v>
      </c>
      <c r="S47" s="7">
        <v>124.90904999999999</v>
      </c>
      <c r="T47" s="6">
        <v>0</v>
      </c>
    </row>
    <row r="48" spans="1:20" ht="15.75">
      <c r="A48" s="3">
        <v>11</v>
      </c>
      <c r="B48" s="6" t="s">
        <v>16</v>
      </c>
      <c r="C48" s="5">
        <f t="shared" si="3"/>
        <v>95.076729999999998</v>
      </c>
      <c r="D48" s="2">
        <v>0.11700000000000001</v>
      </c>
      <c r="E48" s="2">
        <v>0.26600000000000001</v>
      </c>
      <c r="F48" s="2">
        <v>4.8000000000000001E-2</v>
      </c>
      <c r="G48" s="2">
        <v>0.56100000000000005</v>
      </c>
      <c r="H48" s="2">
        <v>3.84</v>
      </c>
      <c r="I48" s="2">
        <v>5.8900000000000001E-2</v>
      </c>
      <c r="J48" s="2">
        <v>1.6999999999999999E-3</v>
      </c>
      <c r="K48" s="2">
        <v>3.2000000000000002E-3</v>
      </c>
      <c r="L48" s="2">
        <v>5.6999999999999998E-4</v>
      </c>
      <c r="M48" s="2">
        <v>5.0000000000000001E-4</v>
      </c>
      <c r="N48" s="2">
        <v>2.64E-2</v>
      </c>
      <c r="O48" s="8">
        <v>0</v>
      </c>
      <c r="P48" s="8">
        <v>0</v>
      </c>
      <c r="Q48" s="8">
        <v>0</v>
      </c>
      <c r="R48" s="6">
        <v>799292</v>
      </c>
      <c r="S48" s="7">
        <v>115.70895</v>
      </c>
      <c r="T48" s="6">
        <v>0</v>
      </c>
    </row>
    <row r="49" spans="1:20" ht="15.75">
      <c r="A49" s="3">
        <v>11</v>
      </c>
      <c r="B49" s="6" t="s">
        <v>16</v>
      </c>
      <c r="C49" s="5">
        <f t="shared" si="3"/>
        <v>95.076729999999998</v>
      </c>
      <c r="D49" s="2">
        <v>0.11700000000000001</v>
      </c>
      <c r="E49" s="2">
        <v>0.26600000000000001</v>
      </c>
      <c r="F49" s="2">
        <v>4.8000000000000001E-2</v>
      </c>
      <c r="G49" s="2">
        <v>0.56100000000000005</v>
      </c>
      <c r="H49" s="2">
        <v>3.84</v>
      </c>
      <c r="I49" s="2">
        <v>5.8900000000000001E-2</v>
      </c>
      <c r="J49" s="2">
        <v>1.6999999999999999E-3</v>
      </c>
      <c r="K49" s="2">
        <v>3.2000000000000002E-3</v>
      </c>
      <c r="L49" s="2">
        <v>5.6999999999999998E-4</v>
      </c>
      <c r="M49" s="2">
        <v>5.0000000000000001E-4</v>
      </c>
      <c r="N49" s="2">
        <v>2.64E-2</v>
      </c>
      <c r="O49" s="8">
        <v>0</v>
      </c>
      <c r="P49" s="8">
        <v>0</v>
      </c>
      <c r="Q49" s="8">
        <v>0</v>
      </c>
      <c r="R49" s="6">
        <v>919696</v>
      </c>
      <c r="S49" s="7">
        <v>124.90904999999999</v>
      </c>
      <c r="T49" s="6">
        <v>0</v>
      </c>
    </row>
    <row r="50" spans="1:20" ht="15.75">
      <c r="A50" s="3">
        <v>11</v>
      </c>
      <c r="B50" s="6" t="s">
        <v>16</v>
      </c>
      <c r="C50" s="5">
        <f t="shared" si="3"/>
        <v>95.076729999999998</v>
      </c>
      <c r="D50" s="2">
        <v>0.11700000000000001</v>
      </c>
      <c r="E50" s="2">
        <v>0.26600000000000001</v>
      </c>
      <c r="F50" s="2">
        <v>4.8000000000000001E-2</v>
      </c>
      <c r="G50" s="2">
        <v>0.56100000000000005</v>
      </c>
      <c r="H50" s="2">
        <v>3.84</v>
      </c>
      <c r="I50" s="2">
        <v>5.8900000000000001E-2</v>
      </c>
      <c r="J50" s="2">
        <v>1.6999999999999999E-3</v>
      </c>
      <c r="K50" s="2">
        <v>3.2000000000000002E-3</v>
      </c>
      <c r="L50" s="2">
        <v>5.6999999999999998E-4</v>
      </c>
      <c r="M50" s="2">
        <v>5.0000000000000001E-4</v>
      </c>
      <c r="N50" s="2">
        <v>2.64E-2</v>
      </c>
      <c r="O50" s="8">
        <v>0</v>
      </c>
      <c r="P50" s="8">
        <v>0</v>
      </c>
      <c r="Q50" s="8">
        <v>0</v>
      </c>
      <c r="R50" s="6">
        <v>943099</v>
      </c>
      <c r="S50" s="7">
        <v>134.46299999999999</v>
      </c>
      <c r="T50" s="6">
        <v>0</v>
      </c>
    </row>
    <row r="51" spans="1:20" ht="15.75">
      <c r="A51" s="3">
        <v>11</v>
      </c>
      <c r="B51" s="6" t="s">
        <v>16</v>
      </c>
      <c r="C51" s="5">
        <f t="shared" si="3"/>
        <v>95.076729999999998</v>
      </c>
      <c r="D51" s="2">
        <v>0.11700000000000001</v>
      </c>
      <c r="E51" s="2">
        <v>0.26600000000000001</v>
      </c>
      <c r="F51" s="2">
        <v>4.8000000000000001E-2</v>
      </c>
      <c r="G51" s="2">
        <v>0.56100000000000005</v>
      </c>
      <c r="H51" s="2">
        <v>3.84</v>
      </c>
      <c r="I51" s="2">
        <v>5.8900000000000001E-2</v>
      </c>
      <c r="J51" s="2">
        <v>1.6999999999999999E-3</v>
      </c>
      <c r="K51" s="2">
        <v>3.2000000000000002E-3</v>
      </c>
      <c r="L51" s="2">
        <v>5.6999999999999998E-4</v>
      </c>
      <c r="M51" s="2">
        <v>5.0000000000000001E-4</v>
      </c>
      <c r="N51" s="2">
        <v>2.64E-2</v>
      </c>
      <c r="O51" s="8">
        <v>0</v>
      </c>
      <c r="P51" s="8">
        <v>0</v>
      </c>
      <c r="Q51" s="8">
        <v>0</v>
      </c>
      <c r="R51" s="6">
        <v>1153956</v>
      </c>
      <c r="S51" s="7">
        <v>115.70895</v>
      </c>
      <c r="T51" s="6">
        <v>0</v>
      </c>
    </row>
    <row r="52" spans="1:20" ht="15.75">
      <c r="A52" s="3">
        <v>11</v>
      </c>
      <c r="B52" s="6" t="s">
        <v>16</v>
      </c>
      <c r="C52" s="5">
        <f t="shared" si="3"/>
        <v>95.076729999999998</v>
      </c>
      <c r="D52" s="2">
        <v>0.11700000000000001</v>
      </c>
      <c r="E52" s="2">
        <v>0.26600000000000001</v>
      </c>
      <c r="F52" s="2">
        <v>4.8000000000000001E-2</v>
      </c>
      <c r="G52" s="2">
        <v>0.56100000000000005</v>
      </c>
      <c r="H52" s="2">
        <v>3.84</v>
      </c>
      <c r="I52" s="2">
        <v>5.8900000000000001E-2</v>
      </c>
      <c r="J52" s="2">
        <v>1.6999999999999999E-3</v>
      </c>
      <c r="K52" s="2">
        <v>3.2000000000000002E-3</v>
      </c>
      <c r="L52" s="2">
        <v>5.6999999999999998E-4</v>
      </c>
      <c r="M52" s="2">
        <v>5.0000000000000001E-4</v>
      </c>
      <c r="N52" s="2">
        <v>2.64E-2</v>
      </c>
      <c r="O52" s="8">
        <v>0</v>
      </c>
      <c r="P52" s="8">
        <v>0</v>
      </c>
      <c r="Q52" s="8">
        <v>0</v>
      </c>
      <c r="R52" s="6">
        <v>1280010</v>
      </c>
      <c r="S52" s="7">
        <v>115.70895</v>
      </c>
      <c r="T52" s="6">
        <v>0</v>
      </c>
    </row>
    <row r="53" spans="1:20" ht="15.75">
      <c r="A53" s="3">
        <v>11</v>
      </c>
      <c r="B53" s="6" t="s">
        <v>16</v>
      </c>
      <c r="C53" s="5">
        <f t="shared" si="3"/>
        <v>95.076729999999998</v>
      </c>
      <c r="D53" s="2">
        <v>0.11700000000000001</v>
      </c>
      <c r="E53" s="2">
        <v>0.26600000000000001</v>
      </c>
      <c r="F53" s="2">
        <v>4.8000000000000001E-2</v>
      </c>
      <c r="G53" s="2">
        <v>0.56100000000000005</v>
      </c>
      <c r="H53" s="2">
        <v>3.84</v>
      </c>
      <c r="I53" s="2">
        <v>5.8900000000000001E-2</v>
      </c>
      <c r="J53" s="2">
        <v>1.6999999999999999E-3</v>
      </c>
      <c r="K53" s="2">
        <v>3.2000000000000002E-3</v>
      </c>
      <c r="L53" s="2">
        <v>5.6999999999999998E-4</v>
      </c>
      <c r="M53" s="2">
        <v>5.0000000000000001E-4</v>
      </c>
      <c r="N53" s="2">
        <v>2.64E-2</v>
      </c>
      <c r="O53" s="8">
        <v>0</v>
      </c>
      <c r="P53" s="8">
        <v>0</v>
      </c>
      <c r="Q53" s="8">
        <v>0</v>
      </c>
      <c r="R53" s="6">
        <v>5250545</v>
      </c>
      <c r="S53" s="7">
        <v>135.17070000000001</v>
      </c>
      <c r="T53" s="6">
        <v>0</v>
      </c>
    </row>
    <row r="54" spans="1:20" ht="15.75">
      <c r="A54" s="3">
        <v>11</v>
      </c>
      <c r="B54" s="6" t="s">
        <v>16</v>
      </c>
      <c r="C54" s="5">
        <f t="shared" si="3"/>
        <v>95.076729999999998</v>
      </c>
      <c r="D54" s="2">
        <v>0.11700000000000001</v>
      </c>
      <c r="E54" s="2">
        <v>0.26600000000000001</v>
      </c>
      <c r="F54" s="2">
        <v>4.8000000000000001E-2</v>
      </c>
      <c r="G54" s="2">
        <v>0.56100000000000005</v>
      </c>
      <c r="H54" s="2">
        <v>3.84</v>
      </c>
      <c r="I54" s="2">
        <v>5.8900000000000001E-2</v>
      </c>
      <c r="J54" s="2">
        <v>1.6999999999999999E-3</v>
      </c>
      <c r="K54" s="2">
        <v>3.2000000000000002E-3</v>
      </c>
      <c r="L54" s="2">
        <v>5.6999999999999998E-4</v>
      </c>
      <c r="M54" s="2">
        <v>5.0000000000000001E-4</v>
      </c>
      <c r="N54" s="2">
        <v>2.64E-2</v>
      </c>
      <c r="O54" s="8">
        <v>0</v>
      </c>
      <c r="P54" s="8">
        <v>0</v>
      </c>
      <c r="Q54" s="8">
        <v>0</v>
      </c>
      <c r="R54" s="6">
        <v>7527507</v>
      </c>
      <c r="S54" s="7">
        <v>115.70895</v>
      </c>
      <c r="T54" s="6">
        <v>0</v>
      </c>
    </row>
    <row r="55" spans="1:20" ht="15.75">
      <c r="A55" s="3">
        <v>11</v>
      </c>
      <c r="B55" s="6" t="s">
        <v>16</v>
      </c>
      <c r="C55" s="5">
        <f t="shared" si="3"/>
        <v>95.076729999999998</v>
      </c>
      <c r="D55" s="2">
        <v>0.11700000000000001</v>
      </c>
      <c r="E55" s="2">
        <v>0.26600000000000001</v>
      </c>
      <c r="F55" s="2">
        <v>4.8000000000000001E-2</v>
      </c>
      <c r="G55" s="2">
        <v>0.56100000000000005</v>
      </c>
      <c r="H55" s="2">
        <v>3.84</v>
      </c>
      <c r="I55" s="2">
        <v>5.8900000000000001E-2</v>
      </c>
      <c r="J55" s="2">
        <v>1.6999999999999999E-3</v>
      </c>
      <c r="K55" s="2">
        <v>3.2000000000000002E-3</v>
      </c>
      <c r="L55" s="2">
        <v>5.6999999999999998E-4</v>
      </c>
      <c r="M55" s="2">
        <v>5.0000000000000001E-4</v>
      </c>
      <c r="N55" s="2">
        <v>2.64E-2</v>
      </c>
      <c r="O55" s="8">
        <v>0</v>
      </c>
      <c r="P55" s="8">
        <v>0</v>
      </c>
      <c r="Q55" s="8">
        <v>0</v>
      </c>
      <c r="R55" s="6">
        <v>10000076</v>
      </c>
      <c r="S55" s="7">
        <v>99.078000000000003</v>
      </c>
      <c r="T55" s="6">
        <v>1</v>
      </c>
    </row>
    <row r="56" spans="1:20" ht="15.75">
      <c r="A56" s="3">
        <v>11</v>
      </c>
      <c r="B56" s="6" t="s">
        <v>16</v>
      </c>
      <c r="C56" s="5">
        <f t="shared" si="3"/>
        <v>95.076729999999998</v>
      </c>
      <c r="D56" s="2">
        <v>0.11700000000000001</v>
      </c>
      <c r="E56" s="2">
        <v>0.26600000000000001</v>
      </c>
      <c r="F56" s="2">
        <v>4.8000000000000001E-2</v>
      </c>
      <c r="G56" s="2">
        <v>0.56100000000000005</v>
      </c>
      <c r="H56" s="2">
        <v>3.84</v>
      </c>
      <c r="I56" s="2">
        <v>5.8900000000000001E-2</v>
      </c>
      <c r="J56" s="2">
        <v>1.6999999999999999E-3</v>
      </c>
      <c r="K56" s="2">
        <v>3.2000000000000002E-3</v>
      </c>
      <c r="L56" s="2">
        <v>5.6999999999999998E-4</v>
      </c>
      <c r="M56" s="2">
        <v>5.0000000000000001E-4</v>
      </c>
      <c r="N56" s="2">
        <v>2.64E-2</v>
      </c>
      <c r="O56" s="8">
        <v>0</v>
      </c>
      <c r="P56" s="8">
        <v>0</v>
      </c>
      <c r="Q56" s="8">
        <v>0</v>
      </c>
      <c r="R56" s="6">
        <v>10000092</v>
      </c>
      <c r="S56" s="7">
        <v>115.70895</v>
      </c>
      <c r="T56" s="6">
        <v>1</v>
      </c>
    </row>
    <row r="57" spans="1:20" ht="15.75">
      <c r="A57" s="3">
        <v>11</v>
      </c>
      <c r="B57" s="6" t="s">
        <v>16</v>
      </c>
      <c r="C57" s="5">
        <f t="shared" si="3"/>
        <v>95.076729999999998</v>
      </c>
      <c r="D57" s="2">
        <v>0.11700000000000001</v>
      </c>
      <c r="E57" s="2">
        <v>0.26600000000000001</v>
      </c>
      <c r="F57" s="2">
        <v>4.8000000000000001E-2</v>
      </c>
      <c r="G57" s="2">
        <v>0.56100000000000005</v>
      </c>
      <c r="H57" s="2">
        <v>3.84</v>
      </c>
      <c r="I57" s="2">
        <v>5.8900000000000001E-2</v>
      </c>
      <c r="J57" s="2">
        <v>1.6999999999999999E-3</v>
      </c>
      <c r="K57" s="2">
        <v>3.2000000000000002E-3</v>
      </c>
      <c r="L57" s="2">
        <v>5.6999999999999998E-4</v>
      </c>
      <c r="M57" s="2">
        <v>5.0000000000000001E-4</v>
      </c>
      <c r="N57" s="2">
        <v>2.64E-2</v>
      </c>
      <c r="O57" s="8">
        <v>0</v>
      </c>
      <c r="P57" s="8">
        <v>0</v>
      </c>
      <c r="Q57" s="8">
        <v>0</v>
      </c>
      <c r="R57" s="6">
        <v>10000093</v>
      </c>
      <c r="S57" s="7">
        <v>99.078000000000003</v>
      </c>
      <c r="T57" s="6">
        <v>1</v>
      </c>
    </row>
    <row r="58" spans="1:20" ht="15.75">
      <c r="A58" s="3">
        <v>11</v>
      </c>
      <c r="B58" s="6" t="s">
        <v>16</v>
      </c>
      <c r="C58" s="5">
        <f t="shared" si="3"/>
        <v>95.076729999999998</v>
      </c>
      <c r="D58" s="2">
        <v>0.11700000000000001</v>
      </c>
      <c r="E58" s="2">
        <v>0.26600000000000001</v>
      </c>
      <c r="F58" s="2">
        <v>4.8000000000000001E-2</v>
      </c>
      <c r="G58" s="2">
        <v>0.56100000000000005</v>
      </c>
      <c r="H58" s="2">
        <v>3.84</v>
      </c>
      <c r="I58" s="2">
        <v>5.8900000000000001E-2</v>
      </c>
      <c r="J58" s="2">
        <v>1.6999999999999999E-3</v>
      </c>
      <c r="K58" s="2">
        <v>3.2000000000000002E-3</v>
      </c>
      <c r="L58" s="2">
        <v>5.6999999999999998E-4</v>
      </c>
      <c r="M58" s="2">
        <v>5.0000000000000001E-4</v>
      </c>
      <c r="N58" s="2">
        <v>2.64E-2</v>
      </c>
      <c r="O58" s="8">
        <v>0</v>
      </c>
      <c r="P58" s="8">
        <v>0</v>
      </c>
      <c r="Q58" s="8">
        <v>0</v>
      </c>
      <c r="R58" s="6">
        <v>10000097</v>
      </c>
      <c r="S58" s="7">
        <v>99.078000000000003</v>
      </c>
      <c r="T58" s="6">
        <v>1</v>
      </c>
    </row>
    <row r="59" spans="1:20" ht="15.75">
      <c r="A59" s="3">
        <v>11</v>
      </c>
      <c r="B59" s="6" t="s">
        <v>16</v>
      </c>
      <c r="C59" s="5">
        <f t="shared" si="3"/>
        <v>95.076729999999998</v>
      </c>
      <c r="D59" s="2">
        <v>0.11700000000000001</v>
      </c>
      <c r="E59" s="2">
        <v>0.26600000000000001</v>
      </c>
      <c r="F59" s="2">
        <v>4.8000000000000001E-2</v>
      </c>
      <c r="G59" s="2">
        <v>0.56100000000000005</v>
      </c>
      <c r="H59" s="2">
        <v>3.84</v>
      </c>
      <c r="I59" s="2">
        <v>5.8900000000000001E-2</v>
      </c>
      <c r="J59" s="2">
        <v>1.6999999999999999E-3</v>
      </c>
      <c r="K59" s="2">
        <v>3.2000000000000002E-3</v>
      </c>
      <c r="L59" s="2">
        <v>5.6999999999999998E-4</v>
      </c>
      <c r="M59" s="2">
        <v>5.0000000000000001E-4</v>
      </c>
      <c r="N59" s="2">
        <v>2.64E-2</v>
      </c>
      <c r="O59" s="8">
        <v>0</v>
      </c>
      <c r="P59" s="8">
        <v>0</v>
      </c>
      <c r="Q59" s="8">
        <v>0</v>
      </c>
      <c r="R59" s="6">
        <v>10000107</v>
      </c>
      <c r="S59" s="7">
        <v>115.70895</v>
      </c>
      <c r="T59" s="6">
        <v>1</v>
      </c>
    </row>
    <row r="60" spans="1:20" ht="15.75">
      <c r="A60" s="3">
        <v>11</v>
      </c>
      <c r="B60" s="6" t="s">
        <v>16</v>
      </c>
      <c r="C60" s="5">
        <f t="shared" si="3"/>
        <v>95.076729999999998</v>
      </c>
      <c r="D60" s="2">
        <v>0.11700000000000001</v>
      </c>
      <c r="E60" s="2">
        <v>0.26600000000000001</v>
      </c>
      <c r="F60" s="2">
        <v>4.8000000000000001E-2</v>
      </c>
      <c r="G60" s="2">
        <v>0.56100000000000005</v>
      </c>
      <c r="H60" s="2">
        <v>3.84</v>
      </c>
      <c r="I60" s="2">
        <v>5.8900000000000001E-2</v>
      </c>
      <c r="J60" s="2">
        <v>1.6999999999999999E-3</v>
      </c>
      <c r="K60" s="2">
        <v>3.2000000000000002E-3</v>
      </c>
      <c r="L60" s="2">
        <v>5.6999999999999998E-4</v>
      </c>
      <c r="M60" s="2">
        <v>5.0000000000000001E-4</v>
      </c>
      <c r="N60" s="2">
        <v>2.64E-2</v>
      </c>
      <c r="O60" s="8">
        <v>0</v>
      </c>
      <c r="P60" s="8">
        <v>0</v>
      </c>
      <c r="Q60" s="8">
        <v>0</v>
      </c>
      <c r="R60" s="6">
        <v>10000115</v>
      </c>
      <c r="S60" s="7">
        <v>106.8627</v>
      </c>
      <c r="T60" s="6">
        <v>1</v>
      </c>
    </row>
    <row r="61" spans="1:20" ht="15.75">
      <c r="A61" s="3">
        <v>11</v>
      </c>
      <c r="B61" s="6" t="s">
        <v>16</v>
      </c>
      <c r="C61" s="5">
        <f t="shared" si="3"/>
        <v>95.076729999999998</v>
      </c>
      <c r="D61" s="2">
        <v>0.11700000000000001</v>
      </c>
      <c r="E61" s="2">
        <v>0.26600000000000001</v>
      </c>
      <c r="F61" s="2">
        <v>4.8000000000000001E-2</v>
      </c>
      <c r="G61" s="2">
        <v>0.56100000000000005</v>
      </c>
      <c r="H61" s="2">
        <v>3.84</v>
      </c>
      <c r="I61" s="2">
        <v>5.8900000000000001E-2</v>
      </c>
      <c r="J61" s="2">
        <v>1.6999999999999999E-3</v>
      </c>
      <c r="K61" s="2">
        <v>3.2000000000000002E-3</v>
      </c>
      <c r="L61" s="2">
        <v>5.6999999999999998E-4</v>
      </c>
      <c r="M61" s="2">
        <v>5.0000000000000001E-4</v>
      </c>
      <c r="N61" s="2">
        <v>2.64E-2</v>
      </c>
      <c r="O61" s="8">
        <v>0</v>
      </c>
      <c r="P61" s="8">
        <v>0</v>
      </c>
      <c r="Q61" s="8">
        <v>0</v>
      </c>
      <c r="R61" s="6">
        <v>10000117</v>
      </c>
      <c r="S61" s="7">
        <v>106.8627</v>
      </c>
      <c r="T61" s="6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Kumar Sah</dc:creator>
  <cp:lastModifiedBy>Rakesh Kumar Sah</cp:lastModifiedBy>
  <dcterms:created xsi:type="dcterms:W3CDTF">2026-05-09T08:18:25Z</dcterms:created>
  <dcterms:modified xsi:type="dcterms:W3CDTF">2026-06-09T08:30:19Z</dcterms:modified>
</cp:coreProperties>
</file>